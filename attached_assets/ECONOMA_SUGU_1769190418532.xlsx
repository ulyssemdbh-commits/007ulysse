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yer\Desktop\"/>
    </mc:Choice>
  </mc:AlternateContent>
  <xr:revisionPtr revIDLastSave="0" documentId="13_ncr:1_{4B37E9CA-941A-4238-B8B1-5BAB4EE772E7}" xr6:coauthVersionLast="47" xr6:coauthVersionMax="47" xr10:uidLastSave="{00000000-0000-0000-0000-000000000000}"/>
  <bookViews>
    <workbookView xWindow="-108" yWindow="-108" windowWidth="23256" windowHeight="12456" activeTab="2" xr2:uid="{DB191B06-E930-44A7-BA17-173109F83313}"/>
  </bookViews>
  <sheets>
    <sheet name="Feuil1" sheetId="1" r:id="rId1"/>
    <sheet name="Feuil2" sheetId="2" r:id="rId2"/>
    <sheet name="ACHATS 1225" sheetId="3" r:id="rId3"/>
    <sheet name="ACHATS 11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35" i="3"/>
  <c r="C34" i="3"/>
  <c r="C33" i="3"/>
  <c r="C32" i="3"/>
  <c r="C31" i="3"/>
  <c r="C30" i="3"/>
  <c r="C29" i="3"/>
  <c r="C28" i="3"/>
  <c r="C27" i="3"/>
  <c r="C26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AA67" i="3"/>
  <c r="AA48" i="3"/>
  <c r="AA62" i="3"/>
  <c r="AA46" i="3"/>
  <c r="AA63" i="3"/>
  <c r="AA57" i="3"/>
  <c r="AA49" i="3"/>
  <c r="W56" i="3"/>
  <c r="E56" i="3"/>
  <c r="AA56" i="3" s="1"/>
  <c r="G56" i="3"/>
  <c r="AC56" i="3" s="1"/>
  <c r="I56" i="3"/>
  <c r="K56" i="3"/>
  <c r="M56" i="3"/>
  <c r="O56" i="3"/>
  <c r="Q56" i="3"/>
  <c r="S56" i="3"/>
  <c r="U56" i="3"/>
  <c r="Y56" i="3"/>
  <c r="E48" i="3"/>
  <c r="E67" i="3"/>
  <c r="Y70" i="3"/>
  <c r="W70" i="3"/>
  <c r="U70" i="3"/>
  <c r="S70" i="3"/>
  <c r="Q70" i="3"/>
  <c r="O70" i="3"/>
  <c r="I70" i="3"/>
  <c r="G70" i="3"/>
  <c r="E70" i="3"/>
  <c r="AA70" i="3" s="1"/>
  <c r="Y69" i="3"/>
  <c r="W69" i="3"/>
  <c r="U69" i="3"/>
  <c r="S69" i="3"/>
  <c r="Q69" i="3"/>
  <c r="O69" i="3"/>
  <c r="M69" i="3"/>
  <c r="K69" i="3"/>
  <c r="I69" i="3"/>
  <c r="G69" i="3"/>
  <c r="AC69" i="3" s="1"/>
  <c r="E69" i="3"/>
  <c r="AA69" i="3" s="1"/>
  <c r="Y68" i="3"/>
  <c r="W68" i="3"/>
  <c r="U68" i="3"/>
  <c r="S68" i="3"/>
  <c r="Q68" i="3"/>
  <c r="O68" i="3"/>
  <c r="M68" i="3"/>
  <c r="K68" i="3"/>
  <c r="I68" i="3"/>
  <c r="G68" i="3"/>
  <c r="AC68" i="3" s="1"/>
  <c r="E68" i="3"/>
  <c r="AA68" i="3" s="1"/>
  <c r="Y67" i="3"/>
  <c r="W67" i="3"/>
  <c r="U67" i="3"/>
  <c r="S67" i="3"/>
  <c r="Q67" i="3"/>
  <c r="O67" i="3"/>
  <c r="M67" i="3"/>
  <c r="K67" i="3"/>
  <c r="I67" i="3"/>
  <c r="G67" i="3"/>
  <c r="AC67" i="3" s="1"/>
  <c r="Y66" i="3"/>
  <c r="W66" i="3"/>
  <c r="U66" i="3"/>
  <c r="S66" i="3"/>
  <c r="Q66" i="3"/>
  <c r="O66" i="3"/>
  <c r="M66" i="3"/>
  <c r="K66" i="3"/>
  <c r="I66" i="3"/>
  <c r="G66" i="3"/>
  <c r="AC66" i="3" s="1"/>
  <c r="E66" i="3"/>
  <c r="AA66" i="3" s="1"/>
  <c r="Y65" i="3"/>
  <c r="W65" i="3"/>
  <c r="U65" i="3"/>
  <c r="S65" i="3"/>
  <c r="Q65" i="3"/>
  <c r="O65" i="3"/>
  <c r="M65" i="3"/>
  <c r="K65" i="3"/>
  <c r="I65" i="3"/>
  <c r="G65" i="3"/>
  <c r="AC65" i="3" s="1"/>
  <c r="E65" i="3"/>
  <c r="AA65" i="3" s="1"/>
  <c r="Y64" i="3"/>
  <c r="W64" i="3"/>
  <c r="U64" i="3"/>
  <c r="S64" i="3"/>
  <c r="Q64" i="3"/>
  <c r="O64" i="3"/>
  <c r="M64" i="3"/>
  <c r="K64" i="3"/>
  <c r="I64" i="3"/>
  <c r="G64" i="3"/>
  <c r="AC64" i="3" s="1"/>
  <c r="E64" i="3"/>
  <c r="AA64" i="3" s="1"/>
  <c r="Y63" i="3"/>
  <c r="W63" i="3"/>
  <c r="U63" i="3"/>
  <c r="S63" i="3"/>
  <c r="Q63" i="3"/>
  <c r="O63" i="3"/>
  <c r="M63" i="3"/>
  <c r="K63" i="3"/>
  <c r="I63" i="3"/>
  <c r="G63" i="3"/>
  <c r="AC63" i="3" s="1"/>
  <c r="E63" i="3"/>
  <c r="Y62" i="3"/>
  <c r="W62" i="3"/>
  <c r="U62" i="3"/>
  <c r="S62" i="3"/>
  <c r="Q62" i="3"/>
  <c r="O62" i="3"/>
  <c r="M62" i="3"/>
  <c r="K62" i="3"/>
  <c r="I62" i="3"/>
  <c r="G62" i="3"/>
  <c r="AC62" i="3" s="1"/>
  <c r="E62" i="3"/>
  <c r="Y61" i="3"/>
  <c r="W61" i="3"/>
  <c r="U61" i="3"/>
  <c r="S61" i="3"/>
  <c r="Q61" i="3"/>
  <c r="O61" i="3"/>
  <c r="M61" i="3"/>
  <c r="K61" i="3"/>
  <c r="I61" i="3"/>
  <c r="G61" i="3"/>
  <c r="AC61" i="3" s="1"/>
  <c r="E61" i="3"/>
  <c r="AA61" i="3" s="1"/>
  <c r="Y60" i="3"/>
  <c r="W60" i="3"/>
  <c r="U60" i="3"/>
  <c r="S60" i="3"/>
  <c r="Q60" i="3"/>
  <c r="O60" i="3"/>
  <c r="M60" i="3"/>
  <c r="K60" i="3"/>
  <c r="I60" i="3"/>
  <c r="G60" i="3"/>
  <c r="AC60" i="3" s="1"/>
  <c r="E60" i="3"/>
  <c r="AA60" i="3" s="1"/>
  <c r="Y59" i="3"/>
  <c r="W59" i="3"/>
  <c r="U59" i="3"/>
  <c r="S59" i="3"/>
  <c r="Q59" i="3"/>
  <c r="O59" i="3"/>
  <c r="M59" i="3"/>
  <c r="K59" i="3"/>
  <c r="I59" i="3"/>
  <c r="G59" i="3"/>
  <c r="AC59" i="3" s="1"/>
  <c r="E59" i="3"/>
  <c r="AA59" i="3" s="1"/>
  <c r="Y58" i="3"/>
  <c r="W58" i="3"/>
  <c r="U58" i="3"/>
  <c r="S58" i="3"/>
  <c r="Q58" i="3"/>
  <c r="O58" i="3"/>
  <c r="M58" i="3"/>
  <c r="K58" i="3"/>
  <c r="I58" i="3"/>
  <c r="G58" i="3"/>
  <c r="AC58" i="3" s="1"/>
  <c r="E58" i="3"/>
  <c r="AA58" i="3" s="1"/>
  <c r="Y57" i="3"/>
  <c r="W57" i="3"/>
  <c r="U57" i="3"/>
  <c r="S57" i="3"/>
  <c r="Q57" i="3"/>
  <c r="O57" i="3"/>
  <c r="M57" i="3"/>
  <c r="K57" i="3"/>
  <c r="I57" i="3"/>
  <c r="G57" i="3"/>
  <c r="AC57" i="3" s="1"/>
  <c r="E57" i="3"/>
  <c r="Y55" i="3"/>
  <c r="W55" i="3"/>
  <c r="U55" i="3"/>
  <c r="S55" i="3"/>
  <c r="Q55" i="3"/>
  <c r="O55" i="3"/>
  <c r="M55" i="3"/>
  <c r="K55" i="3"/>
  <c r="I55" i="3"/>
  <c r="G55" i="3"/>
  <c r="AC55" i="3" s="1"/>
  <c r="E55" i="3"/>
  <c r="AA55" i="3" s="1"/>
  <c r="Y54" i="3"/>
  <c r="W54" i="3"/>
  <c r="U54" i="3"/>
  <c r="S54" i="3"/>
  <c r="Q54" i="3"/>
  <c r="O54" i="3"/>
  <c r="M54" i="3"/>
  <c r="K54" i="3"/>
  <c r="I54" i="3"/>
  <c r="G54" i="3"/>
  <c r="AC54" i="3" s="1"/>
  <c r="E54" i="3"/>
  <c r="AA54" i="3" s="1"/>
  <c r="Y53" i="3"/>
  <c r="W53" i="3"/>
  <c r="U53" i="3"/>
  <c r="S53" i="3"/>
  <c r="Q53" i="3"/>
  <c r="O53" i="3"/>
  <c r="M53" i="3"/>
  <c r="K53" i="3"/>
  <c r="I53" i="3"/>
  <c r="G53" i="3"/>
  <c r="AC53" i="3" s="1"/>
  <c r="E53" i="3"/>
  <c r="AA53" i="3" s="1"/>
  <c r="Y52" i="3"/>
  <c r="W52" i="3"/>
  <c r="U52" i="3"/>
  <c r="S52" i="3"/>
  <c r="Q52" i="3"/>
  <c r="O52" i="3"/>
  <c r="M52" i="3"/>
  <c r="K52" i="3"/>
  <c r="I52" i="3"/>
  <c r="G52" i="3"/>
  <c r="AC52" i="3" s="1"/>
  <c r="E52" i="3"/>
  <c r="AA52" i="3" s="1"/>
  <c r="Y51" i="3"/>
  <c r="W51" i="3"/>
  <c r="U51" i="3"/>
  <c r="S51" i="3"/>
  <c r="Q51" i="3"/>
  <c r="O51" i="3"/>
  <c r="M51" i="3"/>
  <c r="K51" i="3"/>
  <c r="I51" i="3"/>
  <c r="G51" i="3"/>
  <c r="AC51" i="3" s="1"/>
  <c r="E51" i="3"/>
  <c r="AA51" i="3" s="1"/>
  <c r="Y50" i="3"/>
  <c r="W50" i="3"/>
  <c r="U50" i="3"/>
  <c r="S50" i="3"/>
  <c r="Q50" i="3"/>
  <c r="O50" i="3"/>
  <c r="M50" i="3"/>
  <c r="K50" i="3"/>
  <c r="I50" i="3"/>
  <c r="G50" i="3"/>
  <c r="AC50" i="3" s="1"/>
  <c r="E50" i="3"/>
  <c r="AA50" i="3" s="1"/>
  <c r="Y49" i="3"/>
  <c r="W49" i="3"/>
  <c r="U49" i="3"/>
  <c r="S49" i="3"/>
  <c r="Q49" i="3"/>
  <c r="O49" i="3"/>
  <c r="M49" i="3"/>
  <c r="K49" i="3"/>
  <c r="I49" i="3"/>
  <c r="G49" i="3"/>
  <c r="AC49" i="3" s="1"/>
  <c r="E49" i="3"/>
  <c r="Y48" i="3"/>
  <c r="W48" i="3"/>
  <c r="U48" i="3"/>
  <c r="S48" i="3"/>
  <c r="Q48" i="3"/>
  <c r="O48" i="3"/>
  <c r="M48" i="3"/>
  <c r="K48" i="3"/>
  <c r="I48" i="3"/>
  <c r="G48" i="3"/>
  <c r="AC48" i="3" s="1"/>
  <c r="Y47" i="3"/>
  <c r="W47" i="3"/>
  <c r="U47" i="3"/>
  <c r="S47" i="3"/>
  <c r="Q47" i="3"/>
  <c r="O47" i="3"/>
  <c r="M47" i="3"/>
  <c r="K47" i="3"/>
  <c r="I47" i="3"/>
  <c r="G47" i="3"/>
  <c r="AC47" i="3" s="1"/>
  <c r="E47" i="3"/>
  <c r="Y46" i="3"/>
  <c r="W46" i="3"/>
  <c r="U46" i="3"/>
  <c r="S46" i="3"/>
  <c r="Q46" i="3"/>
  <c r="O46" i="3"/>
  <c r="M46" i="3"/>
  <c r="K46" i="3"/>
  <c r="I46" i="3"/>
  <c r="G46" i="3"/>
  <c r="AC46" i="3" s="1"/>
  <c r="E4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W35" i="3"/>
  <c r="U35" i="3"/>
  <c r="Q35" i="3"/>
  <c r="W34" i="3"/>
  <c r="U34" i="3"/>
  <c r="S34" i="3"/>
  <c r="Q34" i="3"/>
  <c r="W33" i="3"/>
  <c r="U33" i="3"/>
  <c r="S33" i="3"/>
  <c r="Q33" i="3"/>
  <c r="W32" i="3"/>
  <c r="U32" i="3"/>
  <c r="S32" i="3"/>
  <c r="Q32" i="3"/>
  <c r="W31" i="3"/>
  <c r="U31" i="3"/>
  <c r="S31" i="3"/>
  <c r="Q31" i="3"/>
  <c r="W30" i="3"/>
  <c r="U30" i="3"/>
  <c r="S30" i="3"/>
  <c r="Q30" i="3"/>
  <c r="W29" i="3"/>
  <c r="U29" i="3"/>
  <c r="S29" i="3"/>
  <c r="Q29" i="3"/>
  <c r="W28" i="3"/>
  <c r="U28" i="3"/>
  <c r="S28" i="3"/>
  <c r="Q28" i="3"/>
  <c r="W27" i="3"/>
  <c r="U27" i="3"/>
  <c r="S27" i="3"/>
  <c r="Q27" i="3"/>
  <c r="W26" i="3"/>
  <c r="U26" i="3"/>
  <c r="S26" i="3"/>
  <c r="Q26" i="3"/>
  <c r="W25" i="3"/>
  <c r="U25" i="3"/>
  <c r="S25" i="3"/>
  <c r="Q25" i="3"/>
  <c r="W24" i="3"/>
  <c r="U24" i="3"/>
  <c r="S24" i="3"/>
  <c r="Q24" i="3"/>
  <c r="W23" i="3"/>
  <c r="U23" i="3"/>
  <c r="S23" i="3"/>
  <c r="Q23" i="3"/>
  <c r="W22" i="3"/>
  <c r="U22" i="3"/>
  <c r="S22" i="3"/>
  <c r="Q22" i="3"/>
  <c r="W21" i="3"/>
  <c r="U21" i="3"/>
  <c r="S21" i="3"/>
  <c r="Q21" i="3"/>
  <c r="W20" i="3"/>
  <c r="U20" i="3"/>
  <c r="S20" i="3"/>
  <c r="Q20" i="3"/>
  <c r="W19" i="3"/>
  <c r="U19" i="3"/>
  <c r="S19" i="3"/>
  <c r="Q19" i="3"/>
  <c r="W18" i="3"/>
  <c r="U18" i="3"/>
  <c r="S18" i="3"/>
  <c r="Q18" i="3"/>
  <c r="W17" i="3"/>
  <c r="U17" i="3"/>
  <c r="S17" i="3"/>
  <c r="Q17" i="3"/>
  <c r="W16" i="3"/>
  <c r="U16" i="3"/>
  <c r="S16" i="3"/>
  <c r="Q16" i="3"/>
  <c r="W15" i="3"/>
  <c r="U15" i="3"/>
  <c r="S15" i="3"/>
  <c r="Q15" i="3"/>
  <c r="W14" i="3"/>
  <c r="U14" i="3"/>
  <c r="S14" i="3"/>
  <c r="Q14" i="3"/>
  <c r="W13" i="3"/>
  <c r="U13" i="3"/>
  <c r="S13" i="3"/>
  <c r="Q13" i="3"/>
  <c r="W12" i="3"/>
  <c r="U12" i="3"/>
  <c r="S12" i="3"/>
  <c r="Q12" i="3"/>
  <c r="W11" i="3"/>
  <c r="U11" i="3"/>
  <c r="S11" i="3"/>
  <c r="Q11" i="3"/>
  <c r="W10" i="3"/>
  <c r="U10" i="3"/>
  <c r="S10" i="3"/>
  <c r="Q10" i="3"/>
  <c r="W9" i="3"/>
  <c r="U9" i="3"/>
  <c r="S9" i="3"/>
  <c r="Q9" i="3"/>
  <c r="W8" i="3"/>
  <c r="U8" i="3"/>
  <c r="S8" i="3"/>
  <c r="Q8" i="3"/>
  <c r="W7" i="3"/>
  <c r="U7" i="3"/>
  <c r="S7" i="3"/>
  <c r="Q7" i="3"/>
  <c r="W6" i="3"/>
  <c r="U6" i="3"/>
  <c r="S6" i="3"/>
  <c r="Q6" i="3"/>
  <c r="W5" i="3"/>
  <c r="U5" i="3"/>
  <c r="S5" i="3"/>
  <c r="Q5" i="3"/>
  <c r="W4" i="3"/>
  <c r="U4" i="3"/>
  <c r="S4" i="3"/>
  <c r="Q4" i="3"/>
  <c r="O21" i="3"/>
  <c r="N25" i="3"/>
  <c r="O25" i="3" s="1"/>
  <c r="AM35" i="3"/>
  <c r="AK35" i="3"/>
  <c r="AI35" i="3"/>
  <c r="AG35" i="3"/>
  <c r="AE35" i="3"/>
  <c r="AC35" i="3"/>
  <c r="E35" i="3"/>
  <c r="AM34" i="3"/>
  <c r="AK34" i="3"/>
  <c r="AI34" i="3"/>
  <c r="AG34" i="3"/>
  <c r="AE34" i="3"/>
  <c r="AC34" i="3"/>
  <c r="AA34" i="3"/>
  <c r="Y34" i="3"/>
  <c r="O34" i="3"/>
  <c r="E34" i="3"/>
  <c r="AM33" i="3"/>
  <c r="AK33" i="3"/>
  <c r="AI33" i="3"/>
  <c r="AG33" i="3"/>
  <c r="AE33" i="3"/>
  <c r="AC33" i="3"/>
  <c r="Y33" i="3"/>
  <c r="O33" i="3"/>
  <c r="E33" i="3"/>
  <c r="AM32" i="3"/>
  <c r="AK32" i="3"/>
  <c r="AI32" i="3"/>
  <c r="AG32" i="3"/>
  <c r="AE32" i="3"/>
  <c r="AC32" i="3"/>
  <c r="AA32" i="3"/>
  <c r="Y32" i="3"/>
  <c r="O32" i="3"/>
  <c r="E32" i="3"/>
  <c r="AM31" i="3"/>
  <c r="AK31" i="3"/>
  <c r="AI31" i="3"/>
  <c r="AG31" i="3"/>
  <c r="AE31" i="3"/>
  <c r="AC31" i="3"/>
  <c r="AA31" i="3"/>
  <c r="Y31" i="3"/>
  <c r="O31" i="3"/>
  <c r="E31" i="3"/>
  <c r="AM30" i="3"/>
  <c r="AK30" i="3"/>
  <c r="AI30" i="3"/>
  <c r="AG30" i="3"/>
  <c r="AE30" i="3"/>
  <c r="AC30" i="3"/>
  <c r="AA30" i="3"/>
  <c r="Y30" i="3"/>
  <c r="O30" i="3"/>
  <c r="E30" i="3"/>
  <c r="AM29" i="3"/>
  <c r="AK29" i="3"/>
  <c r="AI29" i="3"/>
  <c r="AG29" i="3"/>
  <c r="AE29" i="3"/>
  <c r="AC29" i="3"/>
  <c r="AA29" i="3"/>
  <c r="Y29" i="3"/>
  <c r="O29" i="3"/>
  <c r="E29" i="3"/>
  <c r="AM28" i="3"/>
  <c r="AK28" i="3"/>
  <c r="AI28" i="3"/>
  <c r="AG28" i="3"/>
  <c r="AE28" i="3"/>
  <c r="AC28" i="3"/>
  <c r="AA28" i="3"/>
  <c r="Y28" i="3"/>
  <c r="O28" i="3"/>
  <c r="E28" i="3"/>
  <c r="AM27" i="3"/>
  <c r="AK27" i="3"/>
  <c r="AI27" i="3"/>
  <c r="AG27" i="3"/>
  <c r="AE27" i="3"/>
  <c r="AC27" i="3"/>
  <c r="AA27" i="3"/>
  <c r="Y27" i="3"/>
  <c r="O27" i="3"/>
  <c r="E27" i="3"/>
  <c r="AM26" i="3"/>
  <c r="AK26" i="3"/>
  <c r="AI26" i="3"/>
  <c r="AG26" i="3"/>
  <c r="AE26" i="3"/>
  <c r="AC26" i="3"/>
  <c r="AA26" i="3"/>
  <c r="Y26" i="3"/>
  <c r="O26" i="3"/>
  <c r="E26" i="3"/>
  <c r="AM25" i="3"/>
  <c r="AK25" i="3"/>
  <c r="AI25" i="3"/>
  <c r="AG25" i="3"/>
  <c r="AE25" i="3"/>
  <c r="AC25" i="3"/>
  <c r="AA25" i="3"/>
  <c r="Y25" i="3"/>
  <c r="E25" i="3"/>
  <c r="AM24" i="3"/>
  <c r="AK24" i="3"/>
  <c r="AI24" i="3"/>
  <c r="AG24" i="3"/>
  <c r="AE24" i="3"/>
  <c r="AC24" i="3"/>
  <c r="AA24" i="3"/>
  <c r="Y24" i="3"/>
  <c r="O24" i="3"/>
  <c r="E24" i="3"/>
  <c r="AM23" i="3"/>
  <c r="AK23" i="3"/>
  <c r="AI23" i="3"/>
  <c r="AG23" i="3"/>
  <c r="AE23" i="3"/>
  <c r="AC23" i="3"/>
  <c r="AA23" i="3"/>
  <c r="Y23" i="3"/>
  <c r="O23" i="3"/>
  <c r="E23" i="3"/>
  <c r="AM22" i="3"/>
  <c r="AK22" i="3"/>
  <c r="AI22" i="3"/>
  <c r="AG22" i="3"/>
  <c r="AE22" i="3"/>
  <c r="AC22" i="3"/>
  <c r="AA22" i="3"/>
  <c r="Y22" i="3"/>
  <c r="O22" i="3"/>
  <c r="E22" i="3"/>
  <c r="AM21" i="3"/>
  <c r="AI21" i="3"/>
  <c r="AG21" i="3"/>
  <c r="AE21" i="3"/>
  <c r="AC21" i="3"/>
  <c r="Y21" i="3"/>
  <c r="E21" i="3"/>
  <c r="AM20" i="3"/>
  <c r="AK20" i="3"/>
  <c r="AI20" i="3"/>
  <c r="AG20" i="3"/>
  <c r="AE20" i="3"/>
  <c r="AC20" i="3"/>
  <c r="AA20" i="3"/>
  <c r="Y20" i="3"/>
  <c r="O20" i="3"/>
  <c r="E20" i="3"/>
  <c r="AM19" i="3"/>
  <c r="AK19" i="3"/>
  <c r="AI19" i="3"/>
  <c r="AG19" i="3"/>
  <c r="AE19" i="3"/>
  <c r="AC19" i="3"/>
  <c r="AA19" i="3"/>
  <c r="Y19" i="3"/>
  <c r="O19" i="3"/>
  <c r="E19" i="3"/>
  <c r="AM18" i="3"/>
  <c r="AK18" i="3"/>
  <c r="AI18" i="3"/>
  <c r="AG18" i="3"/>
  <c r="AE18" i="3"/>
  <c r="AC18" i="3"/>
  <c r="AA18" i="3"/>
  <c r="Y18" i="3"/>
  <c r="O18" i="3"/>
  <c r="E18" i="3"/>
  <c r="AM17" i="3"/>
  <c r="AI17" i="3"/>
  <c r="AG17" i="3"/>
  <c r="AE17" i="3"/>
  <c r="AC17" i="3"/>
  <c r="AA17" i="3"/>
  <c r="Y17" i="3"/>
  <c r="O17" i="3"/>
  <c r="E17" i="3"/>
  <c r="AM16" i="3"/>
  <c r="AK16" i="3"/>
  <c r="AI16" i="3"/>
  <c r="AG16" i="3"/>
  <c r="AE16" i="3"/>
  <c r="AC16" i="3"/>
  <c r="AA16" i="3"/>
  <c r="Y16" i="3"/>
  <c r="O16" i="3"/>
  <c r="E16" i="3"/>
  <c r="AM15" i="3"/>
  <c r="AK15" i="3"/>
  <c r="AI15" i="3"/>
  <c r="AG15" i="3"/>
  <c r="AE15" i="3"/>
  <c r="AC15" i="3"/>
  <c r="AA15" i="3"/>
  <c r="Y15" i="3"/>
  <c r="O15" i="3"/>
  <c r="E15" i="3"/>
  <c r="AM14" i="3"/>
  <c r="AK14" i="3"/>
  <c r="AI14" i="3"/>
  <c r="AG14" i="3"/>
  <c r="AE14" i="3"/>
  <c r="AC14" i="3"/>
  <c r="AA14" i="3"/>
  <c r="Y14" i="3"/>
  <c r="O14" i="3"/>
  <c r="E14" i="3"/>
  <c r="AM13" i="3"/>
  <c r="AK13" i="3"/>
  <c r="AI13" i="3"/>
  <c r="AG13" i="3"/>
  <c r="AE13" i="3"/>
  <c r="AC13" i="3"/>
  <c r="AA13" i="3"/>
  <c r="Y13" i="3"/>
  <c r="O13" i="3"/>
  <c r="E13" i="3"/>
  <c r="AM12" i="3"/>
  <c r="AK12" i="3"/>
  <c r="AI12" i="3"/>
  <c r="AG12" i="3"/>
  <c r="AE12" i="3"/>
  <c r="AC12" i="3"/>
  <c r="AA12" i="3"/>
  <c r="Y12" i="3"/>
  <c r="O12" i="3"/>
  <c r="E12" i="3"/>
  <c r="AM11" i="3"/>
  <c r="AK11" i="3"/>
  <c r="AI11" i="3"/>
  <c r="AG11" i="3"/>
  <c r="AE11" i="3"/>
  <c r="AC11" i="3"/>
  <c r="AA11" i="3"/>
  <c r="Y11" i="3"/>
  <c r="O11" i="3"/>
  <c r="E11" i="3"/>
  <c r="AM10" i="3"/>
  <c r="AK10" i="3"/>
  <c r="AI10" i="3"/>
  <c r="AG10" i="3"/>
  <c r="AE10" i="3"/>
  <c r="AC10" i="3"/>
  <c r="AA10" i="3"/>
  <c r="Y10" i="3"/>
  <c r="O10" i="3"/>
  <c r="E10" i="3"/>
  <c r="AM9" i="3"/>
  <c r="AK9" i="3"/>
  <c r="AI9" i="3"/>
  <c r="AG9" i="3"/>
  <c r="AE9" i="3"/>
  <c r="AC9" i="3"/>
  <c r="AA9" i="3"/>
  <c r="Y9" i="3"/>
  <c r="O9" i="3"/>
  <c r="AM8" i="3"/>
  <c r="AK8" i="3"/>
  <c r="AI8" i="3"/>
  <c r="AG8" i="3"/>
  <c r="AE8" i="3"/>
  <c r="AC8" i="3"/>
  <c r="AA8" i="3"/>
  <c r="Y8" i="3"/>
  <c r="O8" i="3"/>
  <c r="E8" i="3"/>
  <c r="AM7" i="3"/>
  <c r="AK7" i="3"/>
  <c r="AI7" i="3"/>
  <c r="AG7" i="3"/>
  <c r="AE7" i="3"/>
  <c r="AC7" i="3"/>
  <c r="AA7" i="3"/>
  <c r="Y7" i="3"/>
  <c r="O7" i="3"/>
  <c r="E7" i="3"/>
  <c r="AM6" i="3"/>
  <c r="AK6" i="3"/>
  <c r="AI6" i="3"/>
  <c r="AG6" i="3"/>
  <c r="AE6" i="3"/>
  <c r="AC6" i="3"/>
  <c r="AA6" i="3"/>
  <c r="Y6" i="3"/>
  <c r="O6" i="3"/>
  <c r="E6" i="3"/>
  <c r="AM5" i="3"/>
  <c r="AK5" i="3"/>
  <c r="AI5" i="3"/>
  <c r="AG5" i="3"/>
  <c r="AE5" i="3"/>
  <c r="AC5" i="3"/>
  <c r="AA5" i="3"/>
  <c r="Y5" i="3"/>
  <c r="O5" i="3"/>
  <c r="E5" i="3"/>
  <c r="AM4" i="3"/>
  <c r="AK4" i="3"/>
  <c r="AI4" i="3"/>
  <c r="AG4" i="3"/>
  <c r="AE4" i="3"/>
  <c r="AC4" i="3"/>
  <c r="AA4" i="3"/>
  <c r="Y4" i="3"/>
  <c r="O4" i="3"/>
  <c r="E4" i="3"/>
  <c r="AE34" i="4"/>
  <c r="AC34" i="4"/>
  <c r="AA34" i="4"/>
  <c r="Y34" i="4"/>
  <c r="W34" i="4"/>
  <c r="U34" i="4"/>
  <c r="O34" i="4"/>
  <c r="M34" i="4"/>
  <c r="I34" i="4"/>
  <c r="E34" i="4"/>
  <c r="AE18" i="4"/>
  <c r="AA28" i="4"/>
  <c r="AA27" i="4"/>
  <c r="AE6" i="4"/>
  <c r="AE5" i="4"/>
  <c r="AC6" i="4"/>
  <c r="AA6" i="4"/>
  <c r="Y6" i="4"/>
  <c r="W6" i="4"/>
  <c r="U6" i="4"/>
  <c r="S6" i="4"/>
  <c r="O6" i="4"/>
  <c r="M6" i="4"/>
  <c r="K6" i="4"/>
  <c r="K5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3" i="4"/>
  <c r="K28" i="4"/>
  <c r="M28" i="4"/>
  <c r="O28" i="4"/>
  <c r="Q28" i="4"/>
  <c r="S28" i="4"/>
  <c r="U28" i="4"/>
  <c r="W28" i="4"/>
  <c r="Y28" i="4"/>
  <c r="AC28" i="4"/>
  <c r="AE28" i="4"/>
  <c r="K27" i="4"/>
  <c r="M27" i="4"/>
  <c r="O27" i="4"/>
  <c r="Q27" i="4"/>
  <c r="S27" i="4"/>
  <c r="U27" i="4"/>
  <c r="W27" i="4"/>
  <c r="Y27" i="4"/>
  <c r="AC27" i="4"/>
  <c r="AE27" i="4"/>
  <c r="Q33" i="4"/>
  <c r="Q32" i="4"/>
  <c r="Q31" i="4"/>
  <c r="Q30" i="4"/>
  <c r="Q29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K25" i="4"/>
  <c r="M25" i="4"/>
  <c r="O25" i="4"/>
  <c r="S25" i="4"/>
  <c r="U25" i="4"/>
  <c r="W25" i="4"/>
  <c r="Y25" i="4"/>
  <c r="AA25" i="4"/>
  <c r="AC25" i="4"/>
  <c r="AE25" i="4"/>
  <c r="AE24" i="4"/>
  <c r="AC24" i="4"/>
  <c r="AA24" i="4"/>
  <c r="Y24" i="4"/>
  <c r="W24" i="4"/>
  <c r="U24" i="4"/>
  <c r="S24" i="4"/>
  <c r="O24" i="4"/>
  <c r="M24" i="4"/>
  <c r="K24" i="4"/>
  <c r="K20" i="4"/>
  <c r="M20" i="4"/>
  <c r="O20" i="4"/>
  <c r="U20" i="4"/>
  <c r="W20" i="4"/>
  <c r="Y20" i="4"/>
  <c r="AA20" i="4"/>
  <c r="AE20" i="4"/>
  <c r="AA33" i="4"/>
  <c r="AA32" i="4"/>
  <c r="AA31" i="4"/>
  <c r="AA30" i="4"/>
  <c r="AA29" i="4"/>
  <c r="AA26" i="4"/>
  <c r="AA23" i="4"/>
  <c r="AA22" i="4"/>
  <c r="AA21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5" i="4"/>
  <c r="AA4" i="4"/>
  <c r="AA3" i="4"/>
  <c r="O33" i="4"/>
  <c r="O32" i="4"/>
  <c r="O31" i="4"/>
  <c r="O30" i="4"/>
  <c r="O29" i="4"/>
  <c r="O26" i="4"/>
  <c r="O23" i="4"/>
  <c r="O22" i="4"/>
  <c r="O21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5" i="4"/>
  <c r="O4" i="4"/>
  <c r="O3" i="4"/>
  <c r="K12" i="4"/>
  <c r="AC5" i="4"/>
  <c r="AC4" i="4"/>
  <c r="AC3" i="4"/>
  <c r="Y33" i="4"/>
  <c r="Y32" i="4"/>
  <c r="Y31" i="4"/>
  <c r="Y30" i="4"/>
  <c r="Y29" i="4"/>
  <c r="Y26" i="4"/>
  <c r="Y23" i="4"/>
  <c r="Y22" i="4"/>
  <c r="Y21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5" i="4"/>
  <c r="Y4" i="4"/>
  <c r="Y3" i="4"/>
  <c r="M33" i="4"/>
  <c r="M32" i="4"/>
  <c r="M31" i="4"/>
  <c r="M30" i="4"/>
  <c r="M29" i="4"/>
  <c r="M26" i="4"/>
  <c r="M23" i="4"/>
  <c r="M22" i="4"/>
  <c r="M21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5" i="4"/>
  <c r="M4" i="4"/>
  <c r="M3" i="4"/>
  <c r="U33" i="4"/>
  <c r="U32" i="4"/>
  <c r="U31" i="4"/>
  <c r="U30" i="4"/>
  <c r="U29" i="4"/>
  <c r="U26" i="4"/>
  <c r="U23" i="4"/>
  <c r="U22" i="4"/>
  <c r="U21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5" i="4"/>
  <c r="U4" i="4"/>
  <c r="U3" i="4"/>
  <c r="S33" i="4"/>
  <c r="S31" i="4"/>
  <c r="S30" i="4"/>
  <c r="S29" i="4"/>
  <c r="S26" i="4"/>
  <c r="S23" i="4"/>
  <c r="S22" i="4"/>
  <c r="S21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5" i="4"/>
  <c r="S4" i="4"/>
  <c r="AE32" i="4"/>
  <c r="AC32" i="4"/>
  <c r="W32" i="4"/>
  <c r="K32" i="4"/>
  <c r="W33" i="4"/>
  <c r="W31" i="4"/>
  <c r="W30" i="4"/>
  <c r="W29" i="4"/>
  <c r="W26" i="4"/>
  <c r="W23" i="4"/>
  <c r="W22" i="4"/>
  <c r="W21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5" i="4"/>
  <c r="W4" i="4"/>
  <c r="W3" i="4"/>
  <c r="AE31" i="4"/>
  <c r="AC31" i="4"/>
  <c r="K31" i="4"/>
  <c r="K18" i="4"/>
  <c r="AC18" i="4"/>
  <c r="K16" i="4"/>
  <c r="AE16" i="4"/>
  <c r="AE33" i="4"/>
  <c r="AC33" i="4"/>
  <c r="K33" i="4"/>
  <c r="AE30" i="4"/>
  <c r="AE29" i="4"/>
  <c r="AE26" i="4"/>
  <c r="AE23" i="4"/>
  <c r="AE22" i="4"/>
  <c r="AE21" i="4"/>
  <c r="AE19" i="4"/>
  <c r="AE17" i="4"/>
  <c r="AE15" i="4"/>
  <c r="AE14" i="4"/>
  <c r="AE13" i="4"/>
  <c r="AE12" i="4"/>
  <c r="AE11" i="4"/>
  <c r="AE10" i="4"/>
  <c r="AE9" i="4"/>
  <c r="AE8" i="4"/>
  <c r="AE7" i="4"/>
  <c r="AE4" i="4"/>
  <c r="AC30" i="4"/>
  <c r="AC29" i="4"/>
  <c r="AC26" i="4"/>
  <c r="AC23" i="4"/>
  <c r="AC22" i="4"/>
  <c r="AC21" i="4"/>
  <c r="AC19" i="4"/>
  <c r="AC17" i="4"/>
  <c r="AC15" i="4"/>
  <c r="AC14" i="4"/>
  <c r="AC13" i="4"/>
  <c r="AC12" i="4"/>
  <c r="AC11" i="4"/>
  <c r="AC10" i="4"/>
  <c r="AC9" i="4"/>
  <c r="AC8" i="4"/>
  <c r="AC7" i="4"/>
  <c r="K30" i="4"/>
  <c r="K29" i="4"/>
  <c r="K26" i="4"/>
  <c r="K23" i="4"/>
  <c r="K22" i="4"/>
  <c r="K21" i="4"/>
  <c r="K19" i="4"/>
  <c r="K17" i="4"/>
  <c r="K15" i="4"/>
  <c r="K14" i="4"/>
  <c r="K13" i="4"/>
  <c r="K11" i="4"/>
  <c r="K10" i="4"/>
  <c r="K9" i="4"/>
  <c r="K8" i="4"/>
  <c r="K7" i="4"/>
  <c r="K4" i="4"/>
  <c r="K3" i="4"/>
  <c r="I3" i="4"/>
  <c r="E4" i="4"/>
  <c r="G3" i="4"/>
  <c r="AE3" i="4"/>
  <c r="S3" i="4"/>
  <c r="U35" i="4" l="1"/>
  <c r="K35" i="4"/>
  <c r="G35" i="4"/>
  <c r="I35" i="4"/>
  <c r="I37" i="4" s="1"/>
  <c r="O35" i="4"/>
  <c r="S35" i="4"/>
  <c r="S37" i="4" s="1"/>
  <c r="M35" i="4"/>
  <c r="M37" i="4" s="1"/>
  <c r="Q35" i="4"/>
  <c r="Q37" i="4" s="1"/>
  <c r="AE35" i="4"/>
  <c r="AE37" i="4" s="1"/>
  <c r="AC35" i="4"/>
  <c r="AC37" i="4" s="1"/>
  <c r="E35" i="4"/>
  <c r="E37" i="4" s="1"/>
  <c r="Y35" i="4"/>
  <c r="Y37" i="4" s="1"/>
  <c r="AA35" i="4"/>
  <c r="AA37" i="4" s="1"/>
  <c r="W35" i="4"/>
  <c r="C25" i="3"/>
  <c r="AC71" i="3"/>
  <c r="AC72" i="3" s="1"/>
  <c r="M36" i="3"/>
  <c r="M38" i="3" s="1"/>
  <c r="I36" i="3"/>
  <c r="I38" i="3" s="1"/>
  <c r="K36" i="3"/>
  <c r="K38" i="3" s="1"/>
  <c r="AA71" i="3"/>
  <c r="W71" i="3"/>
  <c r="W72" i="3" s="1"/>
  <c r="G71" i="3"/>
  <c r="G72" i="3" s="1"/>
  <c r="Y71" i="3"/>
  <c r="Y72" i="3" s="1"/>
  <c r="I71" i="3"/>
  <c r="I72" i="3" s="1"/>
  <c r="M71" i="3"/>
  <c r="O71" i="3"/>
  <c r="O72" i="3" s="1"/>
  <c r="Q71" i="3"/>
  <c r="Q72" i="3" s="1"/>
  <c r="S71" i="3"/>
  <c r="U71" i="3"/>
  <c r="U72" i="3" s="1"/>
  <c r="K71" i="3"/>
  <c r="K72" i="3" s="1"/>
  <c r="E71" i="3"/>
  <c r="S36" i="3"/>
  <c r="S38" i="3" s="1"/>
  <c r="U36" i="3"/>
  <c r="U38" i="3" s="1"/>
  <c r="W36" i="3"/>
  <c r="W38" i="3" s="1"/>
  <c r="Q36" i="3"/>
  <c r="Q38" i="3" s="1"/>
  <c r="AC36" i="3"/>
  <c r="AC38" i="3" s="1"/>
  <c r="O36" i="3"/>
  <c r="O38" i="3" s="1"/>
  <c r="AM36" i="3"/>
  <c r="AM38" i="3" s="1"/>
  <c r="AG36" i="3"/>
  <c r="AG38" i="3" s="1"/>
  <c r="AK36" i="3"/>
  <c r="AK38" i="3" s="1"/>
  <c r="AE36" i="3"/>
  <c r="AE38" i="3" s="1"/>
  <c r="AI36" i="3"/>
  <c r="AI38" i="3" s="1"/>
  <c r="E36" i="3"/>
  <c r="E38" i="3" s="1"/>
  <c r="Y36" i="3"/>
  <c r="Y38" i="3" s="1"/>
  <c r="AA36" i="3"/>
  <c r="AA38" i="3" s="1"/>
  <c r="O37" i="4"/>
  <c r="U37" i="4"/>
  <c r="W37" i="4"/>
  <c r="G37" i="4"/>
  <c r="K37" i="4"/>
</calcChain>
</file>

<file path=xl/sharedStrings.xml><?xml version="1.0" encoding="utf-8"?>
<sst xmlns="http://schemas.openxmlformats.org/spreadsheetml/2006/main" count="428" uniqueCount="305">
  <si>
    <t>POSTE LIVRAISON</t>
  </si>
  <si>
    <t>Petits SACS</t>
  </si>
  <si>
    <t>Grand SACS</t>
  </si>
  <si>
    <t>Serviettes Blanches</t>
  </si>
  <si>
    <t>Baguettes</t>
  </si>
  <si>
    <t>Couverts</t>
  </si>
  <si>
    <t>Barquettes 6</t>
  </si>
  <si>
    <t>Barquettes 12</t>
  </si>
  <si>
    <t>Barquettes 18</t>
  </si>
  <si>
    <t>Bowls RTT</t>
  </si>
  <si>
    <t>Barquettes KHAO</t>
  </si>
  <si>
    <t>Bowls Edamme</t>
  </si>
  <si>
    <t>Pots Nouilles</t>
  </si>
  <si>
    <t>Pots Nems</t>
  </si>
  <si>
    <t>Pot sauces Nems</t>
  </si>
  <si>
    <t>COCA</t>
  </si>
  <si>
    <t>COCA ZERO</t>
  </si>
  <si>
    <t>ORANGINA</t>
  </si>
  <si>
    <t>ICETEA</t>
  </si>
  <si>
    <t>FUZETEA</t>
  </si>
  <si>
    <t>OASIS</t>
  </si>
  <si>
    <t>SCHWEPPES</t>
  </si>
  <si>
    <t>EVIAN</t>
  </si>
  <si>
    <t xml:space="preserve">SAN PEL </t>
  </si>
  <si>
    <t>BOISSONS LIVRAISON</t>
  </si>
  <si>
    <t>BOISSONS SUR PLACE</t>
  </si>
  <si>
    <t>EVIAN 50 CL</t>
  </si>
  <si>
    <t>EVIAN 1L</t>
  </si>
  <si>
    <t>SAN PEL 50CL</t>
  </si>
  <si>
    <t>SAN PEL 1L</t>
  </si>
  <si>
    <t>Serviettes Noires</t>
  </si>
  <si>
    <t>SAUCES SALEES</t>
  </si>
  <si>
    <t>SAUCES SUCREES</t>
  </si>
  <si>
    <t>WASABI</t>
  </si>
  <si>
    <t>GINGEMBRE</t>
  </si>
  <si>
    <t>HEINEKEN</t>
  </si>
  <si>
    <t>ASAHI</t>
  </si>
  <si>
    <t>SINGHA</t>
  </si>
  <si>
    <t>AVOCAT</t>
  </si>
  <si>
    <t>CAROTTE</t>
  </si>
  <si>
    <t>CONCOMBRE</t>
  </si>
  <si>
    <t>OIGNONS</t>
  </si>
  <si>
    <t>AIL</t>
  </si>
  <si>
    <t>CHAMPIGNONS BLANCS</t>
  </si>
  <si>
    <t>CHAMPIGNONS NOIRS</t>
  </si>
  <si>
    <t>CEBETTE</t>
  </si>
  <si>
    <t>CORRIANDRE</t>
  </si>
  <si>
    <t>MAIS</t>
  </si>
  <si>
    <t>CITRON</t>
  </si>
  <si>
    <t>TOMATE CERISE</t>
  </si>
  <si>
    <t>AUBERGINE</t>
  </si>
  <si>
    <t>PIMENT</t>
  </si>
  <si>
    <t>COURGETTE</t>
  </si>
  <si>
    <t>POIVRON</t>
  </si>
  <si>
    <t>SALADE</t>
  </si>
  <si>
    <t>CHOU BLANC</t>
  </si>
  <si>
    <t>POIREAU</t>
  </si>
  <si>
    <t xml:space="preserve">MENTHE </t>
  </si>
  <si>
    <t>EDAMAME</t>
  </si>
  <si>
    <t>BO</t>
  </si>
  <si>
    <t>Cà rôt</t>
  </si>
  <si>
    <t>PETITS POIS</t>
  </si>
  <si>
    <t>NẤM TRẮNG</t>
  </si>
  <si>
    <t>NẤM ĐEN</t>
  </si>
  <si>
    <t>CÀ CHUA BI</t>
  </si>
  <si>
    <t>HẠT BẠC HÀ</t>
  </si>
  <si>
    <t>ĐẬU HÀ LAN</t>
  </si>
  <si>
    <t>CHANH</t>
  </si>
  <si>
    <t>NGÒ</t>
  </si>
  <si>
    <t>HÀNH LÁ</t>
  </si>
  <si>
    <t>ỚT</t>
  </si>
  <si>
    <t>GỪNG</t>
  </si>
  <si>
    <t>DƯA CHUỘT</t>
  </si>
  <si>
    <t>CÀ TÍM</t>
  </si>
  <si>
    <t>BÍ XANH</t>
  </si>
  <si>
    <t>Tỏi tây</t>
  </si>
  <si>
    <t>SALAD</t>
  </si>
  <si>
    <t>BẮP CẢI TRẮNG</t>
  </si>
  <si>
    <t>HÀNH</t>
  </si>
  <si>
    <t>TỎI</t>
  </si>
  <si>
    <t>Ớt chuông</t>
  </si>
  <si>
    <t>PATATE DOUCE</t>
  </si>
  <si>
    <t>KHOAI LANG</t>
  </si>
  <si>
    <t>ANANAS</t>
  </si>
  <si>
    <t>BANANE</t>
  </si>
  <si>
    <t>ORANGE</t>
  </si>
  <si>
    <t>POMME</t>
  </si>
  <si>
    <t>POIRE</t>
  </si>
  <si>
    <t>RAISIN</t>
  </si>
  <si>
    <t>KIWI</t>
  </si>
  <si>
    <t>DỨA</t>
  </si>
  <si>
    <t>CHUỐI</t>
  </si>
  <si>
    <t>CAM</t>
  </si>
  <si>
    <t>TÁO</t>
  </si>
  <si>
    <t>LÊ</t>
  </si>
  <si>
    <t>NHO</t>
  </si>
  <si>
    <t>SAUMON</t>
  </si>
  <si>
    <t>THON ROUGE</t>
  </si>
  <si>
    <t>BŒUF</t>
  </si>
  <si>
    <t>VIANDE HACHEE</t>
  </si>
  <si>
    <t>FOIE GRAS</t>
  </si>
  <si>
    <t>SURIMI</t>
  </si>
  <si>
    <t>POULET</t>
  </si>
  <si>
    <t>DINDE</t>
  </si>
  <si>
    <t>FEUILLES DE BRICK</t>
  </si>
  <si>
    <t>BOUILLON DE POULET</t>
  </si>
  <si>
    <t>CÁ HỒI</t>
  </si>
  <si>
    <t>CÁ NGỪ ĐỎ</t>
  </si>
  <si>
    <t>GÀ</t>
  </si>
  <si>
    <t>BÒ</t>
  </si>
  <si>
    <t>GAN NGỖNG</t>
  </si>
  <si>
    <t>BÁNH TRÁNG MỎNG</t>
  </si>
  <si>
    <t>NƯỚC DÙNG GÀ</t>
  </si>
  <si>
    <t>Thịt nguội</t>
  </si>
  <si>
    <t>BO BĂM</t>
  </si>
  <si>
    <t>TIÊU BỘT</t>
  </si>
  <si>
    <t>POIVRE EN POUDRE</t>
  </si>
  <si>
    <t>TIÊU HAT</t>
  </si>
  <si>
    <t>POIVRE EN GRAINS</t>
  </si>
  <si>
    <t>LEVURE CHIMIQUE</t>
  </si>
  <si>
    <t>BỘT NỞ</t>
  </si>
  <si>
    <t>CURRY</t>
  </si>
  <si>
    <t>CÀ RI</t>
  </si>
  <si>
    <t>THÌ LÀ ẤN ĐỘ</t>
  </si>
  <si>
    <t>CUMIN</t>
  </si>
  <si>
    <t>SEL</t>
  </si>
  <si>
    <t>SUCRE</t>
  </si>
  <si>
    <t>ĐƯỜNG</t>
  </si>
  <si>
    <t>MUỐI</t>
  </si>
  <si>
    <t>RESERVE SECHE</t>
  </si>
  <si>
    <t>OEUFS</t>
  </si>
  <si>
    <t>MAYONNAISE</t>
  </si>
  <si>
    <t>HARISSA</t>
  </si>
  <si>
    <t>FARINE</t>
  </si>
  <si>
    <t>PUREE</t>
  </si>
  <si>
    <t>NOUILLES BLANCHES</t>
  </si>
  <si>
    <t>NOUILLES JAUNES</t>
  </si>
  <si>
    <t>PAD THAI</t>
  </si>
  <si>
    <t>ANETH</t>
  </si>
  <si>
    <t>THÌ LÀ</t>
  </si>
  <si>
    <t>VERMICELLE DE RIZ</t>
  </si>
  <si>
    <t>RIZ</t>
  </si>
  <si>
    <t>GALETTE DE RIZ Diam18</t>
  </si>
  <si>
    <t>GALETTE DE RIZ Diam28</t>
  </si>
  <si>
    <t>GALETTE DE RIZ carré19</t>
  </si>
  <si>
    <t>MANGUE</t>
  </si>
  <si>
    <t>XOÀI</t>
  </si>
  <si>
    <t>THON NATURE</t>
  </si>
  <si>
    <t>PANKO</t>
  </si>
  <si>
    <t>SESAME BLANC</t>
  </si>
  <si>
    <t>SESAME NOIR</t>
  </si>
  <si>
    <t>VERMICELLE pour NEMS</t>
  </si>
  <si>
    <t>CACAHUETE</t>
  </si>
  <si>
    <t>OIGNONS FRITS</t>
  </si>
  <si>
    <t>MOUTARDE</t>
  </si>
  <si>
    <t xml:space="preserve">ALGUES </t>
  </si>
  <si>
    <t>HUILE DE SESAME</t>
  </si>
  <si>
    <t>HUILE DE TOURNESOL</t>
  </si>
  <si>
    <t>HUILE D'OLIVE</t>
  </si>
  <si>
    <t>Chocolat DELINUT</t>
  </si>
  <si>
    <t>Chocolat liquide</t>
  </si>
  <si>
    <t>AMANDES Grillées</t>
  </si>
  <si>
    <t>Chocolat Buchette</t>
  </si>
  <si>
    <t>BOUDOIRS</t>
  </si>
  <si>
    <t>CREME LIQUIDE DESSERT</t>
  </si>
  <si>
    <t>CHANTILLY</t>
  </si>
  <si>
    <t>CACAO</t>
  </si>
  <si>
    <t xml:space="preserve"> </t>
  </si>
  <si>
    <t>MIEL</t>
  </si>
  <si>
    <t>CONFITURE FIGUE</t>
  </si>
  <si>
    <t>ECONOMA CUISINE</t>
  </si>
  <si>
    <t>CAFE</t>
  </si>
  <si>
    <t>DECAFEINE</t>
  </si>
  <si>
    <t>THE</t>
  </si>
  <si>
    <t>SAUCE SOJA</t>
  </si>
  <si>
    <t>SAUCE MIRYNE</t>
  </si>
  <si>
    <t>SAUCE NEMS</t>
  </si>
  <si>
    <t>HYGIENE &amp; CONSOMMABLES</t>
  </si>
  <si>
    <t>CHARLOTTES</t>
  </si>
  <si>
    <t>TABLIERS PLASTIQUES</t>
  </si>
  <si>
    <t>GANTS M</t>
  </si>
  <si>
    <t>GANTS L</t>
  </si>
  <si>
    <t>FILM PLASTIQUE</t>
  </si>
  <si>
    <t>SAC POUBELLES</t>
  </si>
  <si>
    <t>LIQUIDE VAISSELLE</t>
  </si>
  <si>
    <t>LIQUIDE LAVE-VERRE</t>
  </si>
  <si>
    <t>SALADE ALGUES</t>
  </si>
  <si>
    <t>LIQUIDE LAVE-VITRE</t>
  </si>
  <si>
    <t>SIROP MENTHE</t>
  </si>
  <si>
    <t>SIROP GRENADINE</t>
  </si>
  <si>
    <t>SIROP DE FRAISE</t>
  </si>
  <si>
    <t>SUCRE EN SAC</t>
  </si>
  <si>
    <t>SUCRE BUCHETTE</t>
  </si>
  <si>
    <t>SUCRETTE</t>
  </si>
  <si>
    <t>VINAIGRE BLANC</t>
  </si>
  <si>
    <t>DESTOP</t>
  </si>
  <si>
    <t>PRODUIT SOL</t>
  </si>
  <si>
    <t>PRODUIT WC</t>
  </si>
  <si>
    <t>SOPALIN</t>
  </si>
  <si>
    <t>ESSUIE MAIN</t>
  </si>
  <si>
    <t>LIQUIDE LAVE-MAIN</t>
  </si>
  <si>
    <t>PAPIER TOILETTES</t>
  </si>
  <si>
    <t>ROULEAUX CB</t>
  </si>
  <si>
    <t>ROULEAUX IMP</t>
  </si>
  <si>
    <t>AGRAFFES</t>
  </si>
  <si>
    <t>POIVRE</t>
  </si>
  <si>
    <t>POCHE A DOUILLE</t>
  </si>
  <si>
    <t>CHAPELURE</t>
  </si>
  <si>
    <t>ZOUAGHI</t>
  </si>
  <si>
    <t>ŒUFS x30</t>
  </si>
  <si>
    <t>Chapelure sac 10kg</t>
  </si>
  <si>
    <t>HARISSA 780Gr</t>
  </si>
  <si>
    <t>SAUCE CHILI 5L</t>
  </si>
  <si>
    <t>RICARD</t>
  </si>
  <si>
    <t>EDAMAME 800Grs</t>
  </si>
  <si>
    <t>Qté</t>
  </si>
  <si>
    <t>Filet de poulet au Kg</t>
  </si>
  <si>
    <t>Mayonnaise 5Kg</t>
  </si>
  <si>
    <t>taxe consistoire/poulet</t>
  </si>
  <si>
    <t>taxe vignette S/S</t>
  </si>
  <si>
    <t>ss-total</t>
  </si>
  <si>
    <t>Martini Blanc</t>
  </si>
  <si>
    <t>Fontainebleau Blanc</t>
  </si>
  <si>
    <t>THON NATURE 1kg</t>
  </si>
  <si>
    <t>OIGNONS FRITS 200Gr</t>
  </si>
  <si>
    <t>Delinut 700Grs</t>
  </si>
  <si>
    <t>Glace Vanille 2,5L</t>
  </si>
  <si>
    <t>02/12 -F2123072</t>
  </si>
  <si>
    <t>Feuilles de bricks 170Gr</t>
  </si>
  <si>
    <t>Chantilly Kineret 250ML</t>
  </si>
  <si>
    <t>Batons choco patis 1,5Kg</t>
  </si>
  <si>
    <t>18/12 -F2123267</t>
  </si>
  <si>
    <t>23/12 - F2123311</t>
  </si>
  <si>
    <t>30/12 - F2123374</t>
  </si>
  <si>
    <t>30/12 - F2123383</t>
  </si>
  <si>
    <t>28/11 - F2123033</t>
  </si>
  <si>
    <t>Vinaigre Blanc</t>
  </si>
  <si>
    <t>27/11 - F2123027</t>
  </si>
  <si>
    <t>03/11 - F2122751</t>
  </si>
  <si>
    <t>Bœuf</t>
  </si>
  <si>
    <t>SURIMI 500Gr</t>
  </si>
  <si>
    <t>04/11 - F2122790</t>
  </si>
  <si>
    <t>04/11 - F2122770</t>
  </si>
  <si>
    <t>Choco liquide 300Gr</t>
  </si>
  <si>
    <t>04/11 - F2122774</t>
  </si>
  <si>
    <t>06/11 - F2122806</t>
  </si>
  <si>
    <t>10/11 - F2122859</t>
  </si>
  <si>
    <t>Fontainebleau Rose</t>
  </si>
  <si>
    <t>Fontainebleau Rouge</t>
  </si>
  <si>
    <t>14/11 - F2122894</t>
  </si>
  <si>
    <t>17/11 - F2122923</t>
  </si>
  <si>
    <t>10/11 - F2122829</t>
  </si>
  <si>
    <t>18/11 - F2122929</t>
  </si>
  <si>
    <t>21/11 - F2122963</t>
  </si>
  <si>
    <t>Glace Chocolat 2,5L</t>
  </si>
  <si>
    <t>Anisette</t>
  </si>
  <si>
    <t>10/11 - F2122858</t>
  </si>
  <si>
    <t>Dinde</t>
  </si>
  <si>
    <t>Boukkha</t>
  </si>
  <si>
    <t>Divers</t>
  </si>
  <si>
    <t>09/12 - F2123147</t>
  </si>
  <si>
    <t>09/12 - F2123156</t>
  </si>
  <si>
    <t>09/12 - F2123174</t>
  </si>
  <si>
    <t>Avocat</t>
  </si>
  <si>
    <t>Concombre</t>
  </si>
  <si>
    <t>Courgette</t>
  </si>
  <si>
    <t>Salade Iceberg</t>
  </si>
  <si>
    <t>Aubergine</t>
  </si>
  <si>
    <t>Poivron</t>
  </si>
  <si>
    <t>Poireaux</t>
  </si>
  <si>
    <t xml:space="preserve">Oignons </t>
  </si>
  <si>
    <t>Choux Blanc</t>
  </si>
  <si>
    <t>Patate Douce</t>
  </si>
  <si>
    <t>Gingembre</t>
  </si>
  <si>
    <t>Cebette</t>
  </si>
  <si>
    <t>Corriandre</t>
  </si>
  <si>
    <t>Ail</t>
  </si>
  <si>
    <t>Ananas</t>
  </si>
  <si>
    <t>Pomme</t>
  </si>
  <si>
    <t>Kiwi</t>
  </si>
  <si>
    <t>Mangue</t>
  </si>
  <si>
    <t>Banane</t>
  </si>
  <si>
    <t>Melon</t>
  </si>
  <si>
    <t>Citron</t>
  </si>
  <si>
    <t>Tomate Cerise</t>
  </si>
  <si>
    <t>10/12 - BL 30</t>
  </si>
  <si>
    <t>Orange</t>
  </si>
  <si>
    <t>Remise 20%</t>
  </si>
  <si>
    <t>11/12 - BL 31</t>
  </si>
  <si>
    <t>12/12 - BL 32</t>
  </si>
  <si>
    <t>14/12 - BL 33</t>
  </si>
  <si>
    <t>16/12 - BL 34</t>
  </si>
  <si>
    <t>19/12 - BL 9</t>
  </si>
  <si>
    <t>23/12 - BL 4</t>
  </si>
  <si>
    <t>24/12 BL 5</t>
  </si>
  <si>
    <t>26/12 - BL 3</t>
  </si>
  <si>
    <t>Jardin CANTINI</t>
  </si>
  <si>
    <t>30/12 - BL 8</t>
  </si>
  <si>
    <t>Champignons</t>
  </si>
  <si>
    <t>29/12 - BL 9</t>
  </si>
  <si>
    <t>31/12 - BL 6</t>
  </si>
  <si>
    <t>31/12 - BL 7</t>
  </si>
  <si>
    <t>Total</t>
  </si>
  <si>
    <t>Kg/Pcs</t>
  </si>
  <si>
    <t>Articles: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</si>
</sst>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C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2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b/>
      <sz val="1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3" fillId="0" borderId="14" xfId="0" applyFont="1" applyBorder="1" applyAlignment="1">
      <alignment vertical="center"/>
    </xf>
    <xf numFmtId="0" fontId="4" fillId="0" borderId="14" xfId="0" applyFont="1" applyBorder="1"/>
    <xf numFmtId="0" fontId="3" fillId="0" borderId="14" xfId="0" applyFont="1" applyBorder="1"/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6" fillId="0" borderId="1" xfId="0" applyFont="1" applyBorder="1"/>
    <xf numFmtId="0" fontId="5" fillId="0" borderId="4" xfId="0" applyFont="1" applyBorder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0" borderId="8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8" fillId="2" borderId="0" xfId="0" applyFont="1" applyFill="1"/>
    <xf numFmtId="0" fontId="2" fillId="0" borderId="0" xfId="0" applyFont="1"/>
    <xf numFmtId="0" fontId="8" fillId="2" borderId="0" xfId="0" applyFont="1" applyFill="1" applyAlignment="1">
      <alignment horizontal="center"/>
    </xf>
    <xf numFmtId="0" fontId="5" fillId="0" borderId="4" xfId="0" applyFont="1" applyBorder="1"/>
    <xf numFmtId="0" fontId="5" fillId="0" borderId="1" xfId="0" applyFont="1" applyBorder="1"/>
    <xf numFmtId="0" fontId="5" fillId="2" borderId="0" xfId="0" applyFont="1" applyFill="1"/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0" xfId="0" applyFont="1"/>
    <xf numFmtId="44" fontId="13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Fill="1"/>
    <xf numFmtId="0" fontId="14" fillId="0" borderId="20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44" fontId="16" fillId="0" borderId="2" xfId="0" applyNumberFormat="1" applyFont="1" applyFill="1" applyBorder="1"/>
    <xf numFmtId="44" fontId="16" fillId="0" borderId="21" xfId="0" applyNumberFormat="1" applyFont="1" applyFill="1" applyBorder="1"/>
    <xf numFmtId="0" fontId="14" fillId="0" borderId="22" xfId="0" applyFont="1" applyFill="1" applyBorder="1" applyAlignment="1">
      <alignment horizontal="center"/>
    </xf>
    <xf numFmtId="44" fontId="16" fillId="0" borderId="24" xfId="0" applyNumberFormat="1" applyFont="1" applyFill="1" applyBorder="1"/>
    <xf numFmtId="0" fontId="14" fillId="0" borderId="26" xfId="0" applyFont="1" applyFill="1" applyBorder="1" applyAlignment="1">
      <alignment horizontal="center"/>
    </xf>
    <xf numFmtId="44" fontId="16" fillId="0" borderId="9" xfId="0" applyNumberFormat="1" applyFont="1" applyFill="1" applyBorder="1"/>
    <xf numFmtId="0" fontId="12" fillId="0" borderId="0" xfId="0" applyFont="1" applyFill="1"/>
    <xf numFmtId="0" fontId="14" fillId="4" borderId="3" xfId="0" applyFont="1" applyFill="1" applyBorder="1" applyAlignment="1">
      <alignment horizontal="center"/>
    </xf>
    <xf numFmtId="44" fontId="16" fillId="4" borderId="2" xfId="0" applyNumberFormat="1" applyFont="1" applyFill="1" applyBorder="1"/>
    <xf numFmtId="0" fontId="14" fillId="4" borderId="20" xfId="0" applyFont="1" applyFill="1" applyBorder="1" applyAlignment="1">
      <alignment horizontal="center"/>
    </xf>
    <xf numFmtId="44" fontId="16" fillId="4" borderId="21" xfId="0" applyNumberFormat="1" applyFont="1" applyFill="1" applyBorder="1"/>
    <xf numFmtId="44" fontId="16" fillId="4" borderId="20" xfId="0" applyNumberFormat="1" applyFont="1" applyFill="1" applyBorder="1"/>
    <xf numFmtId="44" fontId="16" fillId="4" borderId="12" xfId="0" applyNumberFormat="1" applyFont="1" applyFill="1" applyBorder="1"/>
    <xf numFmtId="2" fontId="14" fillId="4" borderId="20" xfId="0" applyNumberFormat="1" applyFont="1" applyFill="1" applyBorder="1"/>
    <xf numFmtId="2" fontId="14" fillId="0" borderId="20" xfId="0" applyNumberFormat="1" applyFont="1" applyFill="1" applyBorder="1"/>
    <xf numFmtId="1" fontId="14" fillId="0" borderId="20" xfId="0" applyNumberFormat="1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44" fontId="16" fillId="4" borderId="23" xfId="0" applyNumberFormat="1" applyFont="1" applyFill="1" applyBorder="1"/>
    <xf numFmtId="0" fontId="14" fillId="4" borderId="19" xfId="0" applyFont="1" applyFill="1" applyBorder="1" applyAlignment="1">
      <alignment horizontal="center"/>
    </xf>
    <xf numFmtId="44" fontId="16" fillId="4" borderId="6" xfId="0" applyNumberFormat="1" applyFont="1" applyFill="1" applyBorder="1"/>
    <xf numFmtId="2" fontId="14" fillId="4" borderId="19" xfId="0" applyNumberFormat="1" applyFont="1" applyFill="1" applyBorder="1"/>
    <xf numFmtId="165" fontId="12" fillId="0" borderId="0" xfId="1" applyNumberFormat="1" applyFont="1" applyFill="1" applyAlignment="1">
      <alignment horizontal="center"/>
    </xf>
    <xf numFmtId="165" fontId="12" fillId="0" borderId="0" xfId="0" applyNumberFormat="1" applyFont="1" applyFill="1" applyAlignment="1">
      <alignment horizontal="center"/>
    </xf>
    <xf numFmtId="44" fontId="16" fillId="4" borderId="32" xfId="0" applyNumberFormat="1" applyFont="1" applyFill="1" applyBorder="1"/>
    <xf numFmtId="44" fontId="16" fillId="4" borderId="9" xfId="0" applyNumberFormat="1" applyFont="1" applyFill="1" applyBorder="1"/>
    <xf numFmtId="0" fontId="14" fillId="4" borderId="38" xfId="0" applyFont="1" applyFill="1" applyBorder="1" applyAlignment="1">
      <alignment horizontal="center"/>
    </xf>
    <xf numFmtId="44" fontId="16" fillId="4" borderId="39" xfId="0" applyNumberFormat="1" applyFont="1" applyFill="1" applyBorder="1"/>
    <xf numFmtId="0" fontId="14" fillId="4" borderId="37" xfId="0" applyFont="1" applyFill="1" applyBorder="1" applyAlignment="1">
      <alignment horizontal="center"/>
    </xf>
    <xf numFmtId="44" fontId="16" fillId="4" borderId="11" xfId="0" applyNumberFormat="1" applyFont="1" applyFill="1" applyBorder="1"/>
    <xf numFmtId="44" fontId="16" fillId="4" borderId="37" xfId="0" applyNumberFormat="1" applyFont="1" applyFill="1" applyBorder="1"/>
    <xf numFmtId="44" fontId="16" fillId="4" borderId="24" xfId="0" applyNumberFormat="1" applyFont="1" applyFill="1" applyBorder="1"/>
    <xf numFmtId="44" fontId="16" fillId="4" borderId="22" xfId="0" applyNumberFormat="1" applyFont="1" applyFill="1" applyBorder="1"/>
    <xf numFmtId="44" fontId="16" fillId="4" borderId="45" xfId="0" applyNumberFormat="1" applyFont="1" applyFill="1" applyBorder="1"/>
    <xf numFmtId="2" fontId="14" fillId="4" borderId="37" xfId="0" applyNumberFormat="1" applyFont="1" applyFill="1" applyBorder="1"/>
    <xf numFmtId="1" fontId="14" fillId="0" borderId="22" xfId="0" applyNumberFormat="1" applyFont="1" applyFill="1" applyBorder="1" applyAlignment="1">
      <alignment horizontal="center"/>
    </xf>
    <xf numFmtId="0" fontId="18" fillId="5" borderId="29" xfId="0" applyFont="1" applyFill="1" applyBorder="1" applyAlignment="1">
      <alignment horizontal="center"/>
    </xf>
    <xf numFmtId="0" fontId="18" fillId="5" borderId="44" xfId="0" applyFont="1" applyFill="1" applyBorder="1" applyAlignment="1">
      <alignment horizontal="center"/>
    </xf>
    <xf numFmtId="14" fontId="18" fillId="5" borderId="29" xfId="0" applyNumberFormat="1" applyFont="1" applyFill="1" applyBorder="1" applyAlignment="1">
      <alignment horizontal="center"/>
    </xf>
    <xf numFmtId="14" fontId="18" fillId="5" borderId="30" xfId="0" applyNumberFormat="1" applyFont="1" applyFill="1" applyBorder="1" applyAlignment="1">
      <alignment horizontal="center"/>
    </xf>
    <xf numFmtId="0" fontId="18" fillId="5" borderId="30" xfId="0" applyFont="1" applyFill="1" applyBorder="1" applyAlignment="1">
      <alignment horizontal="center"/>
    </xf>
    <xf numFmtId="14" fontId="18" fillId="5" borderId="5" xfId="0" applyNumberFormat="1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8" fillId="5" borderId="27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14" fontId="18" fillId="5" borderId="15" xfId="0" applyNumberFormat="1" applyFont="1" applyFill="1" applyBorder="1" applyAlignment="1">
      <alignment horizontal="center"/>
    </xf>
    <xf numFmtId="14" fontId="18" fillId="5" borderId="13" xfId="0" applyNumberFormat="1" applyFont="1" applyFill="1" applyBorder="1" applyAlignment="1">
      <alignment horizontal="center"/>
    </xf>
    <xf numFmtId="14" fontId="18" fillId="5" borderId="40" xfId="0" applyNumberFormat="1" applyFont="1" applyFill="1" applyBorder="1" applyAlignment="1">
      <alignment horizontal="center"/>
    </xf>
    <xf numFmtId="14" fontId="18" fillId="5" borderId="28" xfId="0" applyNumberFormat="1" applyFont="1" applyFill="1" applyBorder="1" applyAlignment="1">
      <alignment horizontal="center"/>
    </xf>
    <xf numFmtId="0" fontId="18" fillId="5" borderId="27" xfId="0" applyFont="1" applyFill="1" applyBorder="1" applyAlignment="1">
      <alignment horizontal="center"/>
    </xf>
    <xf numFmtId="0" fontId="18" fillId="5" borderId="28" xfId="0" applyFont="1" applyFill="1" applyBorder="1" applyAlignment="1">
      <alignment horizontal="center"/>
    </xf>
    <xf numFmtId="14" fontId="18" fillId="5" borderId="44" xfId="0" applyNumberFormat="1" applyFont="1" applyFill="1" applyBorder="1" applyAlignment="1">
      <alignment horizontal="center"/>
    </xf>
    <xf numFmtId="0" fontId="16" fillId="4" borderId="19" xfId="0" applyNumberFormat="1" applyFont="1" applyFill="1" applyBorder="1"/>
    <xf numFmtId="0" fontId="16" fillId="4" borderId="20" xfId="0" applyNumberFormat="1" applyFont="1" applyFill="1" applyBorder="1"/>
    <xf numFmtId="0" fontId="16" fillId="4" borderId="19" xfId="0" applyNumberFormat="1" applyFont="1" applyFill="1" applyBorder="1" applyAlignment="1">
      <alignment horizontal="center"/>
    </xf>
    <xf numFmtId="0" fontId="16" fillId="4" borderId="20" xfId="0" applyNumberFormat="1" applyFont="1" applyFill="1" applyBorder="1" applyAlignment="1">
      <alignment horizontal="center"/>
    </xf>
    <xf numFmtId="0" fontId="16" fillId="4" borderId="37" xfId="0" applyNumberFormat="1" applyFont="1" applyFill="1" applyBorder="1" applyAlignment="1">
      <alignment horizontal="center"/>
    </xf>
    <xf numFmtId="0" fontId="14" fillId="4" borderId="19" xfId="0" applyNumberFormat="1" applyFont="1" applyFill="1" applyBorder="1" applyAlignment="1">
      <alignment horizontal="center"/>
    </xf>
    <xf numFmtId="0" fontId="14" fillId="4" borderId="20" xfId="0" applyNumberFormat="1" applyFont="1" applyFill="1" applyBorder="1" applyAlignment="1">
      <alignment horizontal="center"/>
    </xf>
    <xf numFmtId="0" fontId="14" fillId="0" borderId="20" xfId="0" applyNumberFormat="1" applyFont="1" applyFill="1" applyBorder="1" applyAlignment="1">
      <alignment horizontal="center"/>
    </xf>
    <xf numFmtId="0" fontId="14" fillId="4" borderId="37" xfId="0" applyNumberFormat="1" applyFont="1" applyFill="1" applyBorder="1" applyAlignment="1">
      <alignment horizontal="center"/>
    </xf>
    <xf numFmtId="0" fontId="14" fillId="0" borderId="22" xfId="0" applyNumberFormat="1" applyFont="1" applyFill="1" applyBorder="1" applyAlignment="1">
      <alignment horizontal="center"/>
    </xf>
    <xf numFmtId="0" fontId="16" fillId="4" borderId="20" xfId="0" applyNumberFormat="1" applyFont="1" applyFill="1" applyBorder="1" applyAlignment="1">
      <alignment horizontal="left" indent="1"/>
    </xf>
    <xf numFmtId="0" fontId="13" fillId="0" borderId="0" xfId="1" applyNumberFormat="1" applyFont="1" applyAlignment="1">
      <alignment horizontal="center"/>
    </xf>
    <xf numFmtId="0" fontId="12" fillId="0" borderId="0" xfId="1" applyNumberFormat="1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16" fillId="4" borderId="25" xfId="0" applyNumberFormat="1" applyFont="1" applyFill="1" applyBorder="1" applyAlignment="1">
      <alignment horizontal="center"/>
    </xf>
    <xf numFmtId="0" fontId="16" fillId="4" borderId="3" xfId="0" applyNumberFormat="1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2" fontId="16" fillId="4" borderId="19" xfId="0" applyNumberFormat="1" applyFont="1" applyFill="1" applyBorder="1"/>
    <xf numFmtId="0" fontId="16" fillId="4" borderId="20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2" fontId="16" fillId="4" borderId="20" xfId="0" applyNumberFormat="1" applyFont="1" applyFill="1" applyBorder="1"/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2" fontId="16" fillId="4" borderId="37" xfId="0" applyNumberFormat="1" applyFont="1" applyFill="1" applyBorder="1"/>
    <xf numFmtId="44" fontId="14" fillId="4" borderId="23" xfId="0" applyNumberFormat="1" applyFont="1" applyFill="1" applyBorder="1"/>
    <xf numFmtId="44" fontId="14" fillId="4" borderId="6" xfId="0" applyNumberFormat="1" applyFont="1" applyFill="1" applyBorder="1"/>
    <xf numFmtId="44" fontId="14" fillId="4" borderId="2" xfId="0" applyNumberFormat="1" applyFont="1" applyFill="1" applyBorder="1"/>
    <xf numFmtId="44" fontId="14" fillId="4" borderId="32" xfId="0" applyNumberFormat="1" applyFont="1" applyFill="1" applyBorder="1"/>
    <xf numFmtId="44" fontId="14" fillId="4" borderId="12" xfId="0" applyNumberFormat="1" applyFont="1" applyFill="1" applyBorder="1"/>
    <xf numFmtId="0" fontId="14" fillId="4" borderId="3" xfId="0" applyNumberFormat="1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14" fillId="4" borderId="20" xfId="0" applyNumberFormat="1" applyFont="1" applyFill="1" applyBorder="1" applyAlignment="1">
      <alignment horizontal="left" indent="1"/>
    </xf>
    <xf numFmtId="44" fontId="14" fillId="0" borderId="2" xfId="0" applyNumberFormat="1" applyFont="1" applyFill="1" applyBorder="1"/>
    <xf numFmtId="44" fontId="14" fillId="0" borderId="32" xfId="0" applyNumberFormat="1" applyFont="1" applyFill="1" applyBorder="1"/>
    <xf numFmtId="44" fontId="14" fillId="0" borderId="12" xfId="0" applyNumberFormat="1" applyFont="1" applyFill="1" applyBorder="1"/>
    <xf numFmtId="0" fontId="14" fillId="0" borderId="3" xfId="0" applyNumberFormat="1" applyFont="1" applyFill="1" applyBorder="1" applyAlignment="1">
      <alignment horizontal="center"/>
    </xf>
    <xf numFmtId="44" fontId="14" fillId="0" borderId="21" xfId="0" applyNumberFormat="1" applyFont="1" applyFill="1" applyBorder="1"/>
    <xf numFmtId="0" fontId="14" fillId="0" borderId="20" xfId="0" applyNumberFormat="1" applyFont="1" applyFill="1" applyBorder="1"/>
    <xf numFmtId="0" fontId="14" fillId="4" borderId="20" xfId="0" applyNumberFormat="1" applyFont="1" applyFill="1" applyBorder="1"/>
    <xf numFmtId="44" fontId="14" fillId="4" borderId="20" xfId="0" applyNumberFormat="1" applyFont="1" applyFill="1" applyBorder="1"/>
    <xf numFmtId="44" fontId="14" fillId="0" borderId="20" xfId="0" applyNumberFormat="1" applyFont="1" applyFill="1" applyBorder="1"/>
    <xf numFmtId="44" fontId="14" fillId="4" borderId="39" xfId="0" applyNumberFormat="1" applyFont="1" applyFill="1" applyBorder="1"/>
    <xf numFmtId="44" fontId="14" fillId="4" borderId="11" xfId="0" applyNumberFormat="1" applyFont="1" applyFill="1" applyBorder="1"/>
    <xf numFmtId="44" fontId="14" fillId="4" borderId="37" xfId="0" applyNumberFormat="1" applyFont="1" applyFill="1" applyBorder="1"/>
    <xf numFmtId="44" fontId="14" fillId="0" borderId="24" xfId="0" applyNumberFormat="1" applyFont="1" applyFill="1" applyBorder="1"/>
    <xf numFmtId="44" fontId="14" fillId="0" borderId="45" xfId="0" applyNumberFormat="1" applyFont="1" applyFill="1" applyBorder="1"/>
    <xf numFmtId="44" fontId="14" fillId="0" borderId="16" xfId="0" applyNumberFormat="1" applyFont="1" applyFill="1" applyBorder="1"/>
    <xf numFmtId="0" fontId="14" fillId="0" borderId="26" xfId="0" applyNumberFormat="1" applyFont="1" applyFill="1" applyBorder="1" applyAlignment="1">
      <alignment horizontal="center"/>
    </xf>
    <xf numFmtId="44" fontId="14" fillId="0" borderId="9" xfId="0" applyNumberFormat="1" applyFont="1" applyFill="1" applyBorder="1"/>
    <xf numFmtId="44" fontId="14" fillId="0" borderId="22" xfId="0" applyNumberFormat="1" applyFont="1" applyFill="1" applyBorder="1"/>
    <xf numFmtId="0" fontId="14" fillId="6" borderId="20" xfId="0" applyFont="1" applyFill="1" applyBorder="1" applyAlignment="1">
      <alignment horizontal="center"/>
    </xf>
    <xf numFmtId="44" fontId="14" fillId="6" borderId="21" xfId="0" applyNumberFormat="1" applyFont="1" applyFill="1" applyBorder="1"/>
    <xf numFmtId="165" fontId="13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14" fillId="4" borderId="46" xfId="1" applyNumberFormat="1" applyFont="1" applyFill="1" applyBorder="1" applyAlignment="1">
      <alignment horizontal="center"/>
    </xf>
    <xf numFmtId="165" fontId="14" fillId="4" borderId="47" xfId="1" applyNumberFormat="1" applyFont="1" applyFill="1" applyBorder="1" applyAlignment="1">
      <alignment horizontal="center"/>
    </xf>
    <xf numFmtId="165" fontId="14" fillId="0" borderId="47" xfId="1" applyNumberFormat="1" applyFont="1" applyFill="1" applyBorder="1" applyAlignment="1">
      <alignment horizontal="center"/>
    </xf>
    <xf numFmtId="165" fontId="14" fillId="0" borderId="48" xfId="1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2" fontId="14" fillId="4" borderId="25" xfId="0" applyNumberFormat="1" applyFont="1" applyFill="1" applyBorder="1" applyAlignment="1">
      <alignment horizontal="center"/>
    </xf>
    <xf numFmtId="2" fontId="14" fillId="4" borderId="46" xfId="1" applyNumberFormat="1" applyFont="1" applyFill="1" applyBorder="1" applyAlignment="1">
      <alignment horizontal="center"/>
    </xf>
    <xf numFmtId="2" fontId="14" fillId="4" borderId="47" xfId="1" applyNumberFormat="1" applyFont="1" applyFill="1" applyBorder="1" applyAlignment="1">
      <alignment horizontal="center"/>
    </xf>
    <xf numFmtId="2" fontId="14" fillId="0" borderId="47" xfId="1" applyNumberFormat="1" applyFont="1" applyFill="1" applyBorder="1" applyAlignment="1">
      <alignment horizontal="center"/>
    </xf>
    <xf numFmtId="0" fontId="0" fillId="4" borderId="41" xfId="0" applyFill="1" applyBorder="1"/>
    <xf numFmtId="0" fontId="12" fillId="4" borderId="42" xfId="0" applyFont="1" applyFill="1" applyBorder="1"/>
    <xf numFmtId="0" fontId="12" fillId="0" borderId="42" xfId="0" applyFont="1" applyFill="1" applyBorder="1"/>
    <xf numFmtId="0" fontId="0" fillId="0" borderId="42" xfId="0" applyFill="1" applyBorder="1"/>
    <xf numFmtId="0" fontId="0" fillId="4" borderId="42" xfId="0" applyFill="1" applyBorder="1"/>
    <xf numFmtId="0" fontId="0" fillId="0" borderId="43" xfId="0" applyFill="1" applyBorder="1"/>
    <xf numFmtId="0" fontId="14" fillId="4" borderId="47" xfId="1" applyNumberFormat="1" applyFont="1" applyFill="1" applyBorder="1" applyAlignment="1">
      <alignment horizontal="center"/>
    </xf>
    <xf numFmtId="0" fontId="14" fillId="0" borderId="47" xfId="1" applyNumberFormat="1" applyFont="1" applyFill="1" applyBorder="1" applyAlignment="1">
      <alignment horizontal="center"/>
    </xf>
    <xf numFmtId="0" fontId="14" fillId="0" borderId="48" xfId="1" applyNumberFormat="1" applyFont="1" applyFill="1" applyBorder="1" applyAlignment="1">
      <alignment horizontal="center"/>
    </xf>
    <xf numFmtId="0" fontId="14" fillId="0" borderId="0" xfId="1" applyNumberFormat="1" applyFont="1" applyFill="1" applyBorder="1" applyAlignment="1">
      <alignment horizontal="center"/>
    </xf>
    <xf numFmtId="1" fontId="14" fillId="0" borderId="47" xfId="1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1" fontId="16" fillId="4" borderId="46" xfId="1" applyNumberFormat="1" applyFont="1" applyFill="1" applyBorder="1" applyAlignment="1">
      <alignment horizontal="center"/>
    </xf>
    <xf numFmtId="2" fontId="16" fillId="4" borderId="47" xfId="1" applyNumberFormat="1" applyFont="1" applyFill="1" applyBorder="1" applyAlignment="1">
      <alignment horizontal="center"/>
    </xf>
    <xf numFmtId="0" fontId="16" fillId="4" borderId="47" xfId="1" applyNumberFormat="1" applyFont="1" applyFill="1" applyBorder="1" applyAlignment="1">
      <alignment horizontal="center"/>
    </xf>
    <xf numFmtId="0" fontId="16" fillId="4" borderId="48" xfId="1" applyNumberFormat="1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2" xfId="0" applyNumberFormat="1" applyFont="1" applyFill="1" applyBorder="1" applyAlignment="1">
      <alignment horizontal="center"/>
    </xf>
    <xf numFmtId="44" fontId="16" fillId="4" borderId="16" xfId="0" applyNumberFormat="1" applyFont="1" applyFill="1" applyBorder="1"/>
    <xf numFmtId="0" fontId="16" fillId="4" borderId="26" xfId="0" applyNumberFormat="1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14" fontId="1" fillId="5" borderId="5" xfId="0" applyNumberFormat="1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14" fontId="1" fillId="5" borderId="28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14" fontId="1" fillId="5" borderId="29" xfId="0" applyNumberFormat="1" applyFont="1" applyFill="1" applyBorder="1" applyAlignment="1">
      <alignment horizontal="center" vertical="center"/>
    </xf>
    <xf numFmtId="14" fontId="1" fillId="5" borderId="30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5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5" fillId="5" borderId="40" xfId="1" applyNumberFormat="1" applyFont="1" applyFill="1" applyBorder="1" applyAlignment="1">
      <alignment horizontal="center" vertical="center"/>
    </xf>
    <xf numFmtId="0" fontId="15" fillId="5" borderId="31" xfId="1" applyNumberFormat="1" applyFont="1" applyFill="1" applyBorder="1" applyAlignment="1">
      <alignment horizontal="center" vertical="center"/>
    </xf>
    <xf numFmtId="44" fontId="19" fillId="0" borderId="33" xfId="1" applyFont="1" applyBorder="1" applyAlignment="1">
      <alignment horizontal="center" vertical="center"/>
    </xf>
    <xf numFmtId="44" fontId="19" fillId="0" borderId="35" xfId="1" applyFont="1" applyBorder="1" applyAlignment="1">
      <alignment horizontal="center" vertical="center"/>
    </xf>
    <xf numFmtId="44" fontId="19" fillId="0" borderId="14" xfId="1" applyFont="1" applyBorder="1" applyAlignment="1">
      <alignment horizontal="center" vertical="center"/>
    </xf>
    <xf numFmtId="0" fontId="18" fillId="4" borderId="50" xfId="0" applyFont="1" applyFill="1" applyBorder="1"/>
    <xf numFmtId="0" fontId="1" fillId="4" borderId="42" xfId="0" applyFont="1" applyFill="1" applyBorder="1"/>
    <xf numFmtId="0" fontId="1" fillId="4" borderId="43" xfId="0" applyFont="1" applyFill="1" applyBorder="1"/>
    <xf numFmtId="44" fontId="15" fillId="0" borderId="18" xfId="1" applyFont="1" applyBorder="1" applyAlignment="1">
      <alignment horizontal="center" vertical="center"/>
    </xf>
    <xf numFmtId="165" fontId="16" fillId="4" borderId="49" xfId="1" applyNumberFormat="1" applyFont="1" applyFill="1" applyBorder="1" applyAlignment="1">
      <alignment horizontal="center"/>
    </xf>
    <xf numFmtId="165" fontId="16" fillId="4" borderId="47" xfId="1" applyNumberFormat="1" applyFont="1" applyFill="1" applyBorder="1" applyAlignment="1">
      <alignment horizontal="center"/>
    </xf>
    <xf numFmtId="165" fontId="16" fillId="4" borderId="48" xfId="1" applyNumberFormat="1" applyFont="1" applyFill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33" xfId="0" applyNumberFormat="1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5" borderId="33" xfId="0" applyNumberFormat="1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165" fontId="17" fillId="0" borderId="0" xfId="1" applyNumberFormat="1" applyFont="1" applyAlignment="1">
      <alignment horizontal="center"/>
    </xf>
    <xf numFmtId="0" fontId="1" fillId="4" borderId="41" xfId="0" applyFont="1" applyFill="1" applyBorder="1"/>
    <xf numFmtId="165" fontId="16" fillId="4" borderId="46" xfId="1" applyNumberFormat="1" applyFont="1" applyFill="1" applyBorder="1" applyAlignment="1">
      <alignment horizontal="center"/>
    </xf>
    <xf numFmtId="2" fontId="16" fillId="4" borderId="46" xfId="1" applyNumberFormat="1" applyFont="1" applyFill="1" applyBorder="1" applyAlignment="1">
      <alignment horizontal="center"/>
    </xf>
    <xf numFmtId="0" fontId="18" fillId="4" borderId="42" xfId="0" applyFont="1" applyFill="1" applyBorder="1"/>
    <xf numFmtId="0" fontId="0" fillId="0" borderId="42" xfId="0" applyFont="1" applyFill="1" applyBorder="1"/>
    <xf numFmtId="0" fontId="0" fillId="0" borderId="43" xfId="0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6A53-9154-47AB-B82D-5498C403A518}">
  <dimension ref="A1:P28"/>
  <sheetViews>
    <sheetView zoomScale="70" zoomScaleNormal="70" workbookViewId="0">
      <selection activeCell="E32" sqref="E32"/>
    </sheetView>
  </sheetViews>
  <sheetFormatPr baseColWidth="10" defaultRowHeight="14.4" x14ac:dyDescent="0.3"/>
  <cols>
    <col min="1" max="1" width="2.33203125" customWidth="1"/>
    <col min="2" max="2" width="22" style="21" customWidth="1"/>
    <col min="3" max="3" width="4.5546875" style="23" customWidth="1"/>
    <col min="4" max="4" width="1.88671875" style="23" customWidth="1"/>
    <col min="5" max="5" width="23.21875" style="23" bestFit="1" customWidth="1"/>
    <col min="6" max="6" width="4.5546875" style="23" customWidth="1"/>
    <col min="7" max="7" width="1.88671875" style="23" customWidth="1"/>
    <col min="8" max="8" width="21" style="23" customWidth="1"/>
    <col min="9" max="9" width="4.5546875" style="23" customWidth="1"/>
    <col min="10" max="10" width="1.88671875" style="23" customWidth="1"/>
    <col min="11" max="11" width="19.21875" style="23" customWidth="1"/>
    <col min="12" max="12" width="4.5546875" style="23" customWidth="1"/>
    <col min="13" max="13" width="1.88671875" style="23" customWidth="1"/>
    <col min="14" max="14" width="19.88671875" bestFit="1" customWidth="1"/>
    <col min="15" max="15" width="4.5546875" customWidth="1"/>
    <col min="16" max="16" width="2.33203125" customWidth="1"/>
  </cols>
  <sheetData>
    <row r="1" spans="1:16" x14ac:dyDescent="0.3">
      <c r="A1" s="28"/>
      <c r="B1" s="40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28"/>
      <c r="O1" s="28"/>
      <c r="P1" s="28"/>
    </row>
    <row r="2" spans="1:16" s="43" customFormat="1" ht="21" customHeight="1" x14ac:dyDescent="0.35">
      <c r="A2" s="41"/>
      <c r="B2" s="51" t="s">
        <v>129</v>
      </c>
      <c r="C2" s="51"/>
      <c r="D2" s="51"/>
      <c r="E2" s="51"/>
      <c r="F2" s="51"/>
      <c r="G2" s="42"/>
      <c r="H2" s="51" t="s">
        <v>0</v>
      </c>
      <c r="I2" s="51"/>
      <c r="J2" s="44"/>
      <c r="K2" s="51" t="s">
        <v>24</v>
      </c>
      <c r="L2" s="51"/>
      <c r="M2" s="42"/>
      <c r="N2" s="50" t="s">
        <v>177</v>
      </c>
      <c r="O2" s="50"/>
      <c r="P2" s="41"/>
    </row>
    <row r="3" spans="1:16" ht="15.6" customHeight="1" x14ac:dyDescent="0.3">
      <c r="A3" s="28"/>
      <c r="B3" s="45" t="s">
        <v>141</v>
      </c>
      <c r="C3" s="45"/>
      <c r="D3" s="38"/>
      <c r="E3" s="20" t="s">
        <v>157</v>
      </c>
      <c r="F3" s="24"/>
      <c r="G3" s="38"/>
      <c r="H3" s="46" t="s">
        <v>1</v>
      </c>
      <c r="I3" s="24"/>
      <c r="J3" s="38"/>
      <c r="K3" s="46" t="s">
        <v>15</v>
      </c>
      <c r="L3" s="24"/>
      <c r="M3" s="38"/>
      <c r="N3" s="46" t="s">
        <v>178</v>
      </c>
      <c r="O3" s="24"/>
      <c r="P3" s="28"/>
    </row>
    <row r="4" spans="1:16" ht="15.6" customHeight="1" x14ac:dyDescent="0.3">
      <c r="A4" s="28"/>
      <c r="B4" s="46" t="s">
        <v>125</v>
      </c>
      <c r="C4" s="46"/>
      <c r="D4" s="38"/>
      <c r="E4" s="46" t="s">
        <v>158</v>
      </c>
      <c r="F4" s="46"/>
      <c r="G4" s="38"/>
      <c r="H4" s="46" t="s">
        <v>2</v>
      </c>
      <c r="I4" s="24"/>
      <c r="J4" s="38"/>
      <c r="K4" s="46" t="s">
        <v>16</v>
      </c>
      <c r="L4" s="24"/>
      <c r="M4" s="38"/>
      <c r="N4" s="46" t="s">
        <v>179</v>
      </c>
      <c r="O4" s="24"/>
      <c r="P4" s="28"/>
    </row>
    <row r="5" spans="1:16" ht="15.6" customHeight="1" x14ac:dyDescent="0.3">
      <c r="A5" s="28"/>
      <c r="B5" s="20" t="s">
        <v>205</v>
      </c>
      <c r="C5" s="46"/>
      <c r="D5" s="38"/>
      <c r="E5" s="46" t="s">
        <v>156</v>
      </c>
      <c r="F5" s="46"/>
      <c r="G5" s="38"/>
      <c r="H5" s="46" t="s">
        <v>4</v>
      </c>
      <c r="I5" s="24"/>
      <c r="J5" s="38"/>
      <c r="K5" s="46" t="s">
        <v>17</v>
      </c>
      <c r="L5" s="24"/>
      <c r="M5" s="38"/>
      <c r="N5" s="46" t="s">
        <v>180</v>
      </c>
      <c r="O5" s="24"/>
      <c r="P5" s="28"/>
    </row>
    <row r="6" spans="1:16" ht="15.6" customHeight="1" x14ac:dyDescent="0.3">
      <c r="A6" s="28"/>
      <c r="B6" s="46" t="s">
        <v>154</v>
      </c>
      <c r="C6" s="46"/>
      <c r="D6" s="38"/>
      <c r="E6" s="20" t="s">
        <v>130</v>
      </c>
      <c r="F6" s="46"/>
      <c r="G6" s="38"/>
      <c r="H6" s="46" t="s">
        <v>5</v>
      </c>
      <c r="I6" s="24"/>
      <c r="J6" s="38"/>
      <c r="K6" s="46" t="s">
        <v>18</v>
      </c>
      <c r="L6" s="24"/>
      <c r="M6" s="38"/>
      <c r="N6" s="46" t="s">
        <v>181</v>
      </c>
      <c r="O6" s="24"/>
      <c r="P6" s="28"/>
    </row>
    <row r="7" spans="1:16" ht="15.6" customHeight="1" x14ac:dyDescent="0.3">
      <c r="A7" s="28"/>
      <c r="B7" s="20" t="s">
        <v>131</v>
      </c>
      <c r="C7" s="46"/>
      <c r="D7" s="38"/>
      <c r="E7" s="46" t="s">
        <v>191</v>
      </c>
      <c r="F7" s="46"/>
      <c r="G7" s="38"/>
      <c r="H7" s="46" t="s">
        <v>3</v>
      </c>
      <c r="I7" s="24"/>
      <c r="J7" s="38"/>
      <c r="K7" s="46" t="s">
        <v>19</v>
      </c>
      <c r="L7" s="24"/>
      <c r="M7" s="38"/>
      <c r="N7" s="46" t="s">
        <v>182</v>
      </c>
      <c r="O7" s="24"/>
      <c r="P7" s="28"/>
    </row>
    <row r="8" spans="1:16" ht="15.6" customHeight="1" x14ac:dyDescent="0.3">
      <c r="A8" s="28"/>
      <c r="B8" s="46" t="s">
        <v>132</v>
      </c>
      <c r="C8" s="46"/>
      <c r="D8" s="38"/>
      <c r="E8" s="46" t="s">
        <v>207</v>
      </c>
      <c r="F8" s="46"/>
      <c r="G8" s="38"/>
      <c r="H8" s="46" t="s">
        <v>30</v>
      </c>
      <c r="I8" s="24"/>
      <c r="J8" s="38"/>
      <c r="K8" s="46" t="s">
        <v>20</v>
      </c>
      <c r="L8" s="24"/>
      <c r="M8" s="38"/>
      <c r="N8" s="46" t="s">
        <v>183</v>
      </c>
      <c r="O8" s="24"/>
      <c r="P8" s="28"/>
    </row>
    <row r="9" spans="1:16" ht="15.6" customHeight="1" x14ac:dyDescent="0.3">
      <c r="A9" s="28"/>
      <c r="B9" s="20" t="s">
        <v>147</v>
      </c>
      <c r="C9" s="46"/>
      <c r="D9" s="38"/>
      <c r="E9" s="28"/>
      <c r="F9" s="28"/>
      <c r="G9" s="38"/>
      <c r="H9" s="46" t="s">
        <v>6</v>
      </c>
      <c r="I9" s="24"/>
      <c r="J9" s="38"/>
      <c r="K9" s="46" t="s">
        <v>21</v>
      </c>
      <c r="L9" s="24"/>
      <c r="M9" s="38"/>
      <c r="N9" s="46" t="s">
        <v>184</v>
      </c>
      <c r="O9" s="24"/>
      <c r="P9" s="28"/>
    </row>
    <row r="10" spans="1:16" ht="15.6" customHeight="1" x14ac:dyDescent="0.3">
      <c r="A10" s="28"/>
      <c r="B10" s="20" t="s">
        <v>47</v>
      </c>
      <c r="C10" s="46"/>
      <c r="D10" s="38"/>
      <c r="E10" s="46" t="s">
        <v>159</v>
      </c>
      <c r="F10" s="24"/>
      <c r="G10" s="38"/>
      <c r="H10" s="46" t="s">
        <v>7</v>
      </c>
      <c r="I10" s="24"/>
      <c r="J10" s="38"/>
      <c r="K10" s="46" t="s">
        <v>22</v>
      </c>
      <c r="L10" s="24"/>
      <c r="M10" s="38"/>
      <c r="N10" s="46" t="s">
        <v>185</v>
      </c>
      <c r="O10" s="24"/>
      <c r="P10" s="28"/>
    </row>
    <row r="11" spans="1:16" ht="15.6" customHeight="1" x14ac:dyDescent="0.3">
      <c r="A11" s="28"/>
      <c r="B11" s="46" t="s">
        <v>133</v>
      </c>
      <c r="C11" s="46"/>
      <c r="D11" s="38"/>
      <c r="E11" s="46" t="s">
        <v>160</v>
      </c>
      <c r="F11" s="24"/>
      <c r="G11" s="38" t="s">
        <v>167</v>
      </c>
      <c r="H11" s="46" t="s">
        <v>8</v>
      </c>
      <c r="I11" s="24"/>
      <c r="J11" s="38"/>
      <c r="K11" s="46" t="s">
        <v>23</v>
      </c>
      <c r="L11" s="24"/>
      <c r="M11" s="38"/>
      <c r="N11" s="46" t="s">
        <v>187</v>
      </c>
      <c r="O11" s="24"/>
      <c r="P11" s="28"/>
    </row>
    <row r="12" spans="1:16" s="3" customFormat="1" ht="15.6" customHeight="1" x14ac:dyDescent="0.3">
      <c r="A12" s="35"/>
      <c r="B12" s="20" t="s">
        <v>134</v>
      </c>
      <c r="C12" s="19"/>
      <c r="D12" s="37"/>
      <c r="E12" s="46" t="s">
        <v>162</v>
      </c>
      <c r="F12" s="24"/>
      <c r="G12" s="37"/>
      <c r="H12" s="46" t="s">
        <v>10</v>
      </c>
      <c r="I12" s="22"/>
      <c r="J12" s="37"/>
      <c r="K12" s="39"/>
      <c r="L12" s="37"/>
      <c r="M12" s="37"/>
      <c r="N12" s="46" t="s">
        <v>200</v>
      </c>
      <c r="O12" s="22"/>
      <c r="P12" s="35"/>
    </row>
    <row r="13" spans="1:16" s="3" customFormat="1" ht="15.6" customHeight="1" x14ac:dyDescent="0.3">
      <c r="A13" s="35"/>
      <c r="B13" s="20" t="s">
        <v>140</v>
      </c>
      <c r="C13" s="19"/>
      <c r="D13" s="37"/>
      <c r="E13" s="46" t="s">
        <v>161</v>
      </c>
      <c r="F13" s="22"/>
      <c r="G13" s="37"/>
      <c r="H13" s="46" t="s">
        <v>11</v>
      </c>
      <c r="I13" s="22"/>
      <c r="J13" s="37"/>
      <c r="K13" s="48" t="s">
        <v>25</v>
      </c>
      <c r="L13" s="49"/>
      <c r="M13" s="37"/>
      <c r="N13" s="46" t="s">
        <v>194</v>
      </c>
      <c r="O13" s="22"/>
      <c r="P13" s="35"/>
    </row>
    <row r="14" spans="1:16" s="3" customFormat="1" ht="15.6" customHeight="1" x14ac:dyDescent="0.3">
      <c r="A14" s="35"/>
      <c r="B14" s="20" t="s">
        <v>151</v>
      </c>
      <c r="C14" s="19"/>
      <c r="D14" s="37"/>
      <c r="E14" s="46" t="s">
        <v>163</v>
      </c>
      <c r="F14" s="22"/>
      <c r="G14" s="37"/>
      <c r="H14" s="46" t="s">
        <v>9</v>
      </c>
      <c r="I14" s="22"/>
      <c r="J14" s="37"/>
      <c r="K14" s="46" t="s">
        <v>15</v>
      </c>
      <c r="L14" s="22"/>
      <c r="M14" s="37"/>
      <c r="N14" s="46" t="s">
        <v>195</v>
      </c>
      <c r="O14" s="22"/>
      <c r="P14" s="35"/>
    </row>
    <row r="15" spans="1:16" s="3" customFormat="1" ht="15.6" customHeight="1" x14ac:dyDescent="0.3">
      <c r="A15" s="35"/>
      <c r="B15" s="20" t="s">
        <v>135</v>
      </c>
      <c r="C15" s="19"/>
      <c r="D15" s="37"/>
      <c r="E15" s="46" t="s">
        <v>164</v>
      </c>
      <c r="F15" s="22"/>
      <c r="G15" s="37"/>
      <c r="H15" s="46" t="s">
        <v>12</v>
      </c>
      <c r="I15" s="22"/>
      <c r="J15" s="37"/>
      <c r="K15" s="46" t="s">
        <v>16</v>
      </c>
      <c r="L15" s="22"/>
      <c r="M15" s="37"/>
      <c r="N15" s="46" t="s">
        <v>196</v>
      </c>
      <c r="O15" s="22"/>
      <c r="P15" s="35"/>
    </row>
    <row r="16" spans="1:16" s="3" customFormat="1" ht="15.6" customHeight="1" x14ac:dyDescent="0.3">
      <c r="A16" s="35"/>
      <c r="B16" s="20" t="s">
        <v>136</v>
      </c>
      <c r="C16" s="19"/>
      <c r="D16" s="37"/>
      <c r="E16" s="46" t="s">
        <v>165</v>
      </c>
      <c r="F16" s="22"/>
      <c r="G16" s="37"/>
      <c r="H16" s="46" t="s">
        <v>13</v>
      </c>
      <c r="I16" s="22"/>
      <c r="J16" s="37"/>
      <c r="K16" s="46" t="s">
        <v>26</v>
      </c>
      <c r="L16" s="22"/>
      <c r="M16" s="37"/>
      <c r="N16" s="46" t="s">
        <v>197</v>
      </c>
      <c r="O16" s="22"/>
      <c r="P16" s="35"/>
    </row>
    <row r="17" spans="1:16" ht="15.6" customHeight="1" x14ac:dyDescent="0.3">
      <c r="A17" s="28"/>
      <c r="B17" s="20" t="s">
        <v>137</v>
      </c>
      <c r="C17" s="19"/>
      <c r="D17" s="38"/>
      <c r="E17" s="46" t="s">
        <v>166</v>
      </c>
      <c r="F17" s="22"/>
      <c r="G17" s="38"/>
      <c r="H17" s="46" t="s">
        <v>14</v>
      </c>
      <c r="I17" s="22"/>
      <c r="J17" s="38"/>
      <c r="K17" s="46" t="s">
        <v>27</v>
      </c>
      <c r="L17" s="22"/>
      <c r="M17" s="38"/>
      <c r="N17" s="46" t="s">
        <v>198</v>
      </c>
      <c r="O17" s="22"/>
      <c r="P17" s="28"/>
    </row>
    <row r="18" spans="1:16" ht="15.6" customHeight="1" x14ac:dyDescent="0.3">
      <c r="A18" s="28"/>
      <c r="B18" s="20" t="s">
        <v>142</v>
      </c>
      <c r="C18" s="19"/>
      <c r="D18" s="38"/>
      <c r="E18" s="46" t="s">
        <v>168</v>
      </c>
      <c r="F18" s="22"/>
      <c r="G18" s="38"/>
      <c r="H18" s="39"/>
      <c r="I18" s="38"/>
      <c r="J18" s="38"/>
      <c r="K18" s="46" t="s">
        <v>28</v>
      </c>
      <c r="L18" s="22"/>
      <c r="M18" s="38"/>
      <c r="N18" s="46" t="s">
        <v>199</v>
      </c>
      <c r="O18" s="22"/>
      <c r="P18" s="28"/>
    </row>
    <row r="19" spans="1:16" ht="15.6" customHeight="1" x14ac:dyDescent="0.3">
      <c r="A19" s="28"/>
      <c r="B19" s="20" t="s">
        <v>143</v>
      </c>
      <c r="C19" s="19"/>
      <c r="D19" s="38"/>
      <c r="E19" s="46" t="s">
        <v>169</v>
      </c>
      <c r="F19" s="22"/>
      <c r="G19" s="38"/>
      <c r="H19" s="48" t="s">
        <v>171</v>
      </c>
      <c r="I19" s="49"/>
      <c r="J19" s="38"/>
      <c r="K19" s="46" t="s">
        <v>29</v>
      </c>
      <c r="L19" s="22"/>
      <c r="M19" s="38"/>
      <c r="N19" s="46" t="s">
        <v>201</v>
      </c>
      <c r="O19" s="22"/>
      <c r="P19" s="28"/>
    </row>
    <row r="20" spans="1:16" ht="15.6" customHeight="1" x14ac:dyDescent="0.3">
      <c r="A20" s="28"/>
      <c r="B20" s="20" t="s">
        <v>144</v>
      </c>
      <c r="C20" s="19"/>
      <c r="D20" s="38"/>
      <c r="E20" s="47"/>
      <c r="F20" s="37"/>
      <c r="G20" s="38"/>
      <c r="H20" s="46" t="s">
        <v>171</v>
      </c>
      <c r="I20" s="22"/>
      <c r="J20" s="38"/>
      <c r="K20" s="46" t="s">
        <v>35</v>
      </c>
      <c r="L20" s="24"/>
      <c r="M20" s="38"/>
      <c r="N20" s="46" t="s">
        <v>202</v>
      </c>
      <c r="O20" s="19"/>
      <c r="P20" s="28"/>
    </row>
    <row r="21" spans="1:16" ht="15.6" customHeight="1" x14ac:dyDescent="0.3">
      <c r="A21" s="28"/>
      <c r="B21" s="20" t="s">
        <v>148</v>
      </c>
      <c r="C21" s="19"/>
      <c r="D21" s="38"/>
      <c r="E21" s="46" t="s">
        <v>32</v>
      </c>
      <c r="F21" s="22"/>
      <c r="G21" s="38"/>
      <c r="H21" s="46" t="s">
        <v>172</v>
      </c>
      <c r="I21" s="22"/>
      <c r="J21" s="38"/>
      <c r="K21" s="46" t="s">
        <v>36</v>
      </c>
      <c r="L21" s="24"/>
      <c r="M21" s="38"/>
      <c r="N21" s="46" t="s">
        <v>203</v>
      </c>
      <c r="O21" s="22"/>
      <c r="P21" s="28"/>
    </row>
    <row r="22" spans="1:16" ht="15.6" customHeight="1" x14ac:dyDescent="0.3">
      <c r="A22" s="28"/>
      <c r="B22" s="20" t="s">
        <v>149</v>
      </c>
      <c r="C22" s="25"/>
      <c r="D22" s="38"/>
      <c r="E22" s="46" t="s">
        <v>31</v>
      </c>
      <c r="F22" s="22"/>
      <c r="G22" s="38"/>
      <c r="H22" s="46" t="s">
        <v>173</v>
      </c>
      <c r="I22" s="22"/>
      <c r="J22" s="38"/>
      <c r="K22" s="46" t="s">
        <v>37</v>
      </c>
      <c r="L22" s="24"/>
      <c r="M22" s="38"/>
      <c r="N22" s="46" t="s">
        <v>204</v>
      </c>
      <c r="O22" s="22"/>
      <c r="P22" s="28"/>
    </row>
    <row r="23" spans="1:16" ht="15.6" customHeight="1" x14ac:dyDescent="0.3">
      <c r="A23" s="28"/>
      <c r="B23" s="20" t="s">
        <v>150</v>
      </c>
      <c r="C23" s="19"/>
      <c r="D23" s="38"/>
      <c r="E23" s="46" t="s">
        <v>33</v>
      </c>
      <c r="F23" s="22"/>
      <c r="G23" s="38"/>
      <c r="H23" s="46" t="s">
        <v>192</v>
      </c>
      <c r="I23" s="22"/>
      <c r="J23" s="38"/>
      <c r="K23" s="46" t="s">
        <v>188</v>
      </c>
      <c r="L23" s="24"/>
      <c r="M23" s="38"/>
      <c r="N23" s="46" t="s">
        <v>206</v>
      </c>
      <c r="O23" s="22"/>
      <c r="P23" s="28"/>
    </row>
    <row r="24" spans="1:16" ht="15.6" customHeight="1" x14ac:dyDescent="0.3">
      <c r="A24" s="28"/>
      <c r="B24" s="20" t="s">
        <v>152</v>
      </c>
      <c r="C24" s="19"/>
      <c r="D24" s="38"/>
      <c r="E24" s="46" t="s">
        <v>34</v>
      </c>
      <c r="F24" s="22"/>
      <c r="G24" s="38"/>
      <c r="H24" s="46" t="s">
        <v>193</v>
      </c>
      <c r="I24" s="22"/>
      <c r="J24" s="38"/>
      <c r="K24" s="46" t="s">
        <v>189</v>
      </c>
      <c r="L24" s="24"/>
      <c r="M24" s="38"/>
      <c r="N24" s="28"/>
      <c r="O24" s="28"/>
      <c r="P24" s="28"/>
    </row>
    <row r="25" spans="1:16" ht="15.6" customHeight="1" x14ac:dyDescent="0.3">
      <c r="A25" s="28"/>
      <c r="B25" s="20" t="s">
        <v>153</v>
      </c>
      <c r="C25" s="24"/>
      <c r="D25" s="38"/>
      <c r="E25" s="46" t="s">
        <v>174</v>
      </c>
      <c r="F25" s="22"/>
      <c r="G25" s="38"/>
      <c r="H25" s="38"/>
      <c r="I25" s="38"/>
      <c r="J25" s="38"/>
      <c r="K25" s="46" t="s">
        <v>190</v>
      </c>
      <c r="L25" s="24"/>
      <c r="M25" s="38"/>
      <c r="N25" s="28"/>
      <c r="O25" s="28"/>
      <c r="P25" s="28"/>
    </row>
    <row r="26" spans="1:16" ht="15.6" customHeight="1" x14ac:dyDescent="0.3">
      <c r="A26" s="28"/>
      <c r="B26" s="20" t="s">
        <v>155</v>
      </c>
      <c r="C26" s="24"/>
      <c r="D26" s="38"/>
      <c r="E26" s="46" t="s">
        <v>175</v>
      </c>
      <c r="F26" s="22"/>
      <c r="G26" s="38"/>
      <c r="H26" s="38"/>
      <c r="I26" s="38"/>
      <c r="J26" s="38"/>
      <c r="K26" s="38"/>
      <c r="L26" s="38"/>
      <c r="M26" s="38"/>
      <c r="N26" s="28"/>
      <c r="O26" s="28"/>
      <c r="P26" s="28"/>
    </row>
    <row r="27" spans="1:16" ht="15.6" customHeight="1" x14ac:dyDescent="0.3">
      <c r="A27" s="28"/>
      <c r="B27" s="20" t="s">
        <v>186</v>
      </c>
      <c r="C27" s="24"/>
      <c r="D27" s="38"/>
      <c r="E27" s="46" t="s">
        <v>176</v>
      </c>
      <c r="F27" s="22"/>
      <c r="G27" s="38"/>
      <c r="H27" s="38"/>
      <c r="I27" s="38"/>
      <c r="J27" s="38"/>
      <c r="K27" s="38"/>
      <c r="L27" s="38"/>
      <c r="M27" s="38"/>
      <c r="N27" s="28"/>
      <c r="O27" s="28"/>
      <c r="P27" s="28"/>
    </row>
    <row r="28" spans="1:16" ht="15.6" customHeight="1" x14ac:dyDescent="0.3">
      <c r="A28" s="28"/>
      <c r="B28" s="40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28"/>
      <c r="O28" s="28"/>
      <c r="P28" s="28"/>
    </row>
  </sheetData>
  <mergeCells count="6">
    <mergeCell ref="H19:I19"/>
    <mergeCell ref="N2:O2"/>
    <mergeCell ref="B2:F2"/>
    <mergeCell ref="K2:L2"/>
    <mergeCell ref="K13:L13"/>
    <mergeCell ref="H2:I2"/>
  </mergeCells>
  <printOptions horizontalCentered="1" verticalCentered="1"/>
  <pageMargins left="0.23622047244094491" right="0.23622047244094491" top="0.35433070866141736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C308-F729-4658-9A05-EC1C0351C429}">
  <dimension ref="A1:O41"/>
  <sheetViews>
    <sheetView zoomScale="80" zoomScaleNormal="80" workbookViewId="0">
      <selection activeCell="P9" sqref="P9"/>
    </sheetView>
  </sheetViews>
  <sheetFormatPr baseColWidth="10" defaultRowHeight="14.4" x14ac:dyDescent="0.3"/>
  <cols>
    <col min="1" max="1" width="4.77734375" customWidth="1"/>
    <col min="2" max="2" width="22.77734375" customWidth="1"/>
    <col min="3" max="3" width="5.77734375" customWidth="1"/>
    <col min="4" max="4" width="4.77734375" customWidth="1"/>
    <col min="5" max="5" width="22.77734375" style="2" customWidth="1"/>
    <col min="6" max="6" width="5.77734375" style="2" customWidth="1"/>
    <col min="7" max="7" width="4.77734375" style="2" customWidth="1"/>
    <col min="8" max="8" width="22.77734375" style="2" customWidth="1"/>
    <col min="9" max="9" width="5.88671875" style="2" customWidth="1"/>
    <col min="10" max="10" width="4.77734375" customWidth="1"/>
    <col min="11" max="11" width="22.77734375" customWidth="1"/>
    <col min="12" max="12" width="5.44140625" customWidth="1"/>
    <col min="13" max="13" width="4.77734375" customWidth="1"/>
  </cols>
  <sheetData>
    <row r="1" spans="1:15" ht="29.4" thickBot="1" x14ac:dyDescent="0.6">
      <c r="A1" s="28"/>
      <c r="B1" s="59" t="s">
        <v>170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28"/>
    </row>
    <row r="2" spans="1:15" s="1" customFormat="1" ht="15" customHeight="1" x14ac:dyDescent="0.3">
      <c r="A2" s="27"/>
      <c r="B2" s="13" t="s">
        <v>96</v>
      </c>
      <c r="C2" s="52"/>
      <c r="D2" s="27"/>
      <c r="E2" s="14" t="s">
        <v>38</v>
      </c>
      <c r="F2" s="52"/>
      <c r="G2" s="29"/>
      <c r="H2" s="14" t="s">
        <v>43</v>
      </c>
      <c r="I2" s="52"/>
      <c r="J2" s="34"/>
      <c r="K2" s="13" t="s">
        <v>83</v>
      </c>
      <c r="L2" s="52"/>
      <c r="M2" s="27"/>
    </row>
    <row r="3" spans="1:15" s="5" customFormat="1" ht="15" customHeight="1" thickBot="1" x14ac:dyDescent="0.35">
      <c r="A3" s="26"/>
      <c r="B3" s="10" t="s">
        <v>106</v>
      </c>
      <c r="C3" s="53"/>
      <c r="D3" s="26"/>
      <c r="E3" s="36" t="s">
        <v>59</v>
      </c>
      <c r="F3" s="53"/>
      <c r="G3" s="30"/>
      <c r="H3" s="8" t="s">
        <v>62</v>
      </c>
      <c r="I3" s="53"/>
      <c r="J3" s="30"/>
      <c r="K3" s="10" t="s">
        <v>90</v>
      </c>
      <c r="L3" s="53"/>
      <c r="M3" s="26"/>
    </row>
    <row r="4" spans="1:15" s="1" customFormat="1" ht="15" customHeight="1" x14ac:dyDescent="0.3">
      <c r="A4" s="27"/>
      <c r="B4" s="15" t="s">
        <v>97</v>
      </c>
      <c r="C4" s="54"/>
      <c r="D4" s="27"/>
      <c r="E4" s="13" t="s">
        <v>39</v>
      </c>
      <c r="F4" s="52"/>
      <c r="G4" s="29"/>
      <c r="H4" s="13" t="s">
        <v>44</v>
      </c>
      <c r="I4" s="52"/>
      <c r="J4" s="34"/>
      <c r="K4" s="13" t="s">
        <v>84</v>
      </c>
      <c r="L4" s="52"/>
      <c r="M4" s="27"/>
    </row>
    <row r="5" spans="1:15" s="5" customFormat="1" ht="15" customHeight="1" thickBot="1" x14ac:dyDescent="0.35">
      <c r="A5" s="26"/>
      <c r="B5" s="6" t="s">
        <v>107</v>
      </c>
      <c r="C5" s="55"/>
      <c r="D5" s="26"/>
      <c r="E5" s="10" t="s">
        <v>60</v>
      </c>
      <c r="F5" s="53"/>
      <c r="G5" s="30"/>
      <c r="H5" s="11" t="s">
        <v>63</v>
      </c>
      <c r="I5" s="53"/>
      <c r="J5" s="30"/>
      <c r="K5" s="10" t="s">
        <v>91</v>
      </c>
      <c r="L5" s="53"/>
      <c r="M5" s="26"/>
    </row>
    <row r="6" spans="1:15" s="1" customFormat="1" ht="15" customHeight="1" x14ac:dyDescent="0.3">
      <c r="A6" s="27"/>
      <c r="B6" s="16" t="s">
        <v>102</v>
      </c>
      <c r="C6" s="56"/>
      <c r="D6" s="27"/>
      <c r="E6" s="17" t="s">
        <v>40</v>
      </c>
      <c r="F6" s="54"/>
      <c r="G6" s="29"/>
      <c r="H6" s="13" t="s">
        <v>81</v>
      </c>
      <c r="I6" s="56"/>
      <c r="J6" s="34"/>
      <c r="K6" s="15" t="s">
        <v>85</v>
      </c>
      <c r="L6" s="58"/>
      <c r="M6" s="27"/>
      <c r="N6" s="18"/>
    </row>
    <row r="7" spans="1:15" s="5" customFormat="1" ht="15" customHeight="1" thickBot="1" x14ac:dyDescent="0.35">
      <c r="A7" s="26"/>
      <c r="B7" s="12" t="s">
        <v>108</v>
      </c>
      <c r="C7" s="57"/>
      <c r="D7" s="26"/>
      <c r="E7" s="9" t="s">
        <v>72</v>
      </c>
      <c r="F7" s="55"/>
      <c r="G7" s="30"/>
      <c r="H7" s="11" t="s">
        <v>82</v>
      </c>
      <c r="I7" s="57"/>
      <c r="J7" s="30"/>
      <c r="K7" s="6" t="s">
        <v>92</v>
      </c>
      <c r="L7" s="57"/>
      <c r="M7" s="26"/>
    </row>
    <row r="8" spans="1:15" s="1" customFormat="1" ht="15" customHeight="1" x14ac:dyDescent="0.3">
      <c r="A8" s="27"/>
      <c r="B8" s="15" t="s">
        <v>98</v>
      </c>
      <c r="C8" s="58"/>
      <c r="D8" s="27"/>
      <c r="E8" s="13" t="s">
        <v>50</v>
      </c>
      <c r="F8" s="52"/>
      <c r="G8" s="29"/>
      <c r="H8" s="13" t="s">
        <v>57</v>
      </c>
      <c r="I8" s="56"/>
      <c r="J8" s="34"/>
      <c r="K8" s="13" t="s">
        <v>86</v>
      </c>
      <c r="L8" s="56"/>
      <c r="M8" s="27"/>
    </row>
    <row r="9" spans="1:15" s="5" customFormat="1" ht="15" customHeight="1" thickBot="1" x14ac:dyDescent="0.35">
      <c r="A9" s="26"/>
      <c r="B9" s="6" t="s">
        <v>109</v>
      </c>
      <c r="C9" s="58"/>
      <c r="D9" s="26"/>
      <c r="E9" s="11" t="s">
        <v>73</v>
      </c>
      <c r="F9" s="53"/>
      <c r="G9" s="30"/>
      <c r="H9" s="11" t="s">
        <v>65</v>
      </c>
      <c r="I9" s="57"/>
      <c r="J9" s="30"/>
      <c r="K9" s="10" t="s">
        <v>93</v>
      </c>
      <c r="L9" s="57"/>
      <c r="M9" s="26"/>
    </row>
    <row r="10" spans="1:15" s="1" customFormat="1" ht="15" customHeight="1" x14ac:dyDescent="0.3">
      <c r="A10" s="27"/>
      <c r="B10" s="13" t="s">
        <v>99</v>
      </c>
      <c r="C10" s="52"/>
      <c r="D10" s="27"/>
      <c r="E10" s="17" t="s">
        <v>52</v>
      </c>
      <c r="F10" s="54"/>
      <c r="G10" s="29"/>
      <c r="H10" s="17" t="s">
        <v>61</v>
      </c>
      <c r="I10" s="52"/>
      <c r="J10" s="34"/>
      <c r="K10" s="15" t="s">
        <v>87</v>
      </c>
      <c r="L10" s="54"/>
      <c r="M10" s="27"/>
    </row>
    <row r="11" spans="1:15" s="5" customFormat="1" ht="15" customHeight="1" thickBot="1" x14ac:dyDescent="0.35">
      <c r="A11" s="26"/>
      <c r="B11" s="10" t="s">
        <v>114</v>
      </c>
      <c r="C11" s="53"/>
      <c r="D11" s="26"/>
      <c r="E11" s="9" t="s">
        <v>74</v>
      </c>
      <c r="F11" s="55"/>
      <c r="G11" s="30"/>
      <c r="H11" s="9" t="s">
        <v>66</v>
      </c>
      <c r="I11" s="53"/>
      <c r="J11" s="30"/>
      <c r="K11" s="6" t="s">
        <v>94</v>
      </c>
      <c r="L11" s="53"/>
      <c r="M11" s="26"/>
    </row>
    <row r="12" spans="1:15" s="1" customFormat="1" ht="15" customHeight="1" x14ac:dyDescent="0.3">
      <c r="A12" s="27"/>
      <c r="B12" s="15" t="s">
        <v>103</v>
      </c>
      <c r="C12" s="54"/>
      <c r="D12" s="27"/>
      <c r="E12" s="13" t="s">
        <v>53</v>
      </c>
      <c r="F12" s="52"/>
      <c r="G12" s="29"/>
      <c r="H12" s="13" t="s">
        <v>58</v>
      </c>
      <c r="I12" s="52"/>
      <c r="J12" s="34"/>
      <c r="K12" s="13" t="s">
        <v>88</v>
      </c>
      <c r="L12" s="52"/>
      <c r="M12" s="27"/>
    </row>
    <row r="13" spans="1:15" s="5" customFormat="1" ht="15" customHeight="1" thickBot="1" x14ac:dyDescent="0.35">
      <c r="A13" s="26"/>
      <c r="B13" s="6" t="s">
        <v>113</v>
      </c>
      <c r="C13" s="55"/>
      <c r="D13" s="26"/>
      <c r="E13" s="11" t="s">
        <v>80</v>
      </c>
      <c r="F13" s="53"/>
      <c r="G13" s="30"/>
      <c r="H13" s="11" t="s">
        <v>58</v>
      </c>
      <c r="I13" s="53"/>
      <c r="J13" s="30"/>
      <c r="K13" s="10" t="s">
        <v>95</v>
      </c>
      <c r="L13" s="53"/>
      <c r="M13" s="26"/>
    </row>
    <row r="14" spans="1:15" s="1" customFormat="1" ht="15" customHeight="1" x14ac:dyDescent="0.3">
      <c r="A14" s="27"/>
      <c r="B14" s="13" t="s">
        <v>100</v>
      </c>
      <c r="C14" s="52"/>
      <c r="D14" s="27"/>
      <c r="E14" s="14" t="s">
        <v>56</v>
      </c>
      <c r="F14" s="52"/>
      <c r="G14" s="29"/>
      <c r="H14" s="17" t="s">
        <v>48</v>
      </c>
      <c r="I14" s="52"/>
      <c r="J14" s="34"/>
      <c r="K14" s="13" t="s">
        <v>89</v>
      </c>
      <c r="L14" s="52"/>
      <c r="M14" s="27"/>
    </row>
    <row r="15" spans="1:15" s="5" customFormat="1" ht="15" customHeight="1" thickBot="1" x14ac:dyDescent="0.35">
      <c r="A15" s="26"/>
      <c r="B15" s="10" t="s">
        <v>110</v>
      </c>
      <c r="C15" s="53"/>
      <c r="D15" s="26"/>
      <c r="E15" s="8" t="s">
        <v>75</v>
      </c>
      <c r="F15" s="53"/>
      <c r="G15" s="30"/>
      <c r="H15" s="9" t="s">
        <v>67</v>
      </c>
      <c r="I15" s="55"/>
      <c r="J15" s="30"/>
      <c r="K15" s="10" t="s">
        <v>89</v>
      </c>
      <c r="L15" s="53"/>
      <c r="M15" s="26"/>
    </row>
    <row r="16" spans="1:15" s="1" customFormat="1" ht="15" customHeight="1" x14ac:dyDescent="0.3">
      <c r="A16" s="27"/>
      <c r="B16" s="15" t="s">
        <v>101</v>
      </c>
      <c r="C16" s="54"/>
      <c r="D16" s="27"/>
      <c r="E16" s="13" t="s">
        <v>54</v>
      </c>
      <c r="F16" s="52"/>
      <c r="G16" s="29"/>
      <c r="H16" s="16" t="s">
        <v>138</v>
      </c>
      <c r="I16" s="60"/>
      <c r="J16" s="34"/>
      <c r="K16" s="13" t="s">
        <v>145</v>
      </c>
      <c r="L16" s="52"/>
      <c r="M16" s="27"/>
      <c r="O16" s="18"/>
    </row>
    <row r="17" spans="1:14" s="5" customFormat="1" ht="15" customHeight="1" thickBot="1" x14ac:dyDescent="0.35">
      <c r="A17" s="26"/>
      <c r="B17" s="10" t="s">
        <v>101</v>
      </c>
      <c r="C17" s="53"/>
      <c r="D17" s="26"/>
      <c r="E17" s="11" t="s">
        <v>76</v>
      </c>
      <c r="F17" s="53"/>
      <c r="G17" s="30"/>
      <c r="H17" s="11" t="s">
        <v>139</v>
      </c>
      <c r="I17" s="61"/>
      <c r="J17" s="30"/>
      <c r="K17" s="11" t="s">
        <v>146</v>
      </c>
      <c r="L17" s="53"/>
      <c r="M17" s="26"/>
      <c r="N17" s="4"/>
    </row>
    <row r="18" spans="1:14" s="1" customFormat="1" ht="15" customHeight="1" x14ac:dyDescent="0.3">
      <c r="A18" s="27"/>
      <c r="B18" s="13" t="s">
        <v>104</v>
      </c>
      <c r="C18" s="52"/>
      <c r="D18" s="27"/>
      <c r="E18" s="17" t="s">
        <v>55</v>
      </c>
      <c r="F18" s="54"/>
      <c r="G18" s="29"/>
      <c r="H18" s="15" t="s">
        <v>46</v>
      </c>
      <c r="I18" s="54"/>
      <c r="J18" s="34"/>
      <c r="K18" s="27"/>
      <c r="L18" s="27"/>
      <c r="M18" s="27"/>
    </row>
    <row r="19" spans="1:14" s="5" customFormat="1" ht="15" customHeight="1" thickBot="1" x14ac:dyDescent="0.35">
      <c r="A19" s="26"/>
      <c r="B19" s="10" t="s">
        <v>111</v>
      </c>
      <c r="C19" s="53"/>
      <c r="D19" s="26"/>
      <c r="E19" s="9" t="s">
        <v>77</v>
      </c>
      <c r="F19" s="55"/>
      <c r="G19" s="30"/>
      <c r="H19" s="7" t="s">
        <v>68</v>
      </c>
      <c r="I19" s="55"/>
      <c r="J19" s="30"/>
      <c r="K19" s="26"/>
      <c r="L19" s="26"/>
      <c r="M19" s="26"/>
    </row>
    <row r="20" spans="1:14" s="1" customFormat="1" ht="15" customHeight="1" x14ac:dyDescent="0.3">
      <c r="A20" s="27"/>
      <c r="B20" s="15" t="s">
        <v>105</v>
      </c>
      <c r="C20" s="54"/>
      <c r="D20" s="27"/>
      <c r="E20" s="13" t="s">
        <v>41</v>
      </c>
      <c r="F20" s="52"/>
      <c r="G20" s="29"/>
      <c r="H20" s="14" t="s">
        <v>45</v>
      </c>
      <c r="I20" s="56"/>
      <c r="J20" s="34"/>
      <c r="K20" s="27"/>
      <c r="L20" s="27"/>
      <c r="M20" s="27"/>
    </row>
    <row r="21" spans="1:14" s="5" customFormat="1" ht="15" customHeight="1" thickBot="1" x14ac:dyDescent="0.35">
      <c r="A21" s="26"/>
      <c r="B21" s="10" t="s">
        <v>112</v>
      </c>
      <c r="C21" s="53"/>
      <c r="D21" s="26"/>
      <c r="E21" s="11" t="s">
        <v>78</v>
      </c>
      <c r="F21" s="53"/>
      <c r="G21" s="30"/>
      <c r="H21" s="8" t="s">
        <v>69</v>
      </c>
      <c r="I21" s="57"/>
      <c r="J21" s="30"/>
      <c r="K21" s="26"/>
      <c r="L21" s="26"/>
      <c r="M21" s="26"/>
    </row>
    <row r="22" spans="1:14" s="1" customFormat="1" ht="15" customHeight="1" x14ac:dyDescent="0.3">
      <c r="A22" s="27"/>
      <c r="B22" s="13" t="s">
        <v>119</v>
      </c>
      <c r="C22" s="52"/>
      <c r="D22" s="27"/>
      <c r="E22" s="17" t="s">
        <v>42</v>
      </c>
      <c r="F22" s="54"/>
      <c r="G22" s="29"/>
      <c r="H22" s="15" t="s">
        <v>51</v>
      </c>
      <c r="I22" s="56"/>
      <c r="J22" s="34"/>
      <c r="K22" s="27"/>
      <c r="L22" s="27"/>
      <c r="M22" s="27"/>
    </row>
    <row r="23" spans="1:14" s="5" customFormat="1" ht="15" customHeight="1" thickBot="1" x14ac:dyDescent="0.35">
      <c r="A23" s="26"/>
      <c r="B23" s="12" t="s">
        <v>120</v>
      </c>
      <c r="C23" s="53"/>
      <c r="D23" s="26"/>
      <c r="E23" s="8" t="s">
        <v>79</v>
      </c>
      <c r="F23" s="53"/>
      <c r="G23" s="30"/>
      <c r="H23" s="11" t="s">
        <v>70</v>
      </c>
      <c r="I23" s="57"/>
      <c r="J23" s="30"/>
      <c r="K23" s="26"/>
      <c r="L23" s="26"/>
      <c r="M23" s="26"/>
    </row>
    <row r="24" spans="1:14" s="1" customFormat="1" ht="15" customHeight="1" x14ac:dyDescent="0.3">
      <c r="A24" s="27"/>
      <c r="B24" s="27"/>
      <c r="C24" s="27"/>
      <c r="D24" s="27"/>
      <c r="E24" s="14" t="s">
        <v>49</v>
      </c>
      <c r="F24" s="52"/>
      <c r="G24" s="29"/>
      <c r="H24" s="17" t="s">
        <v>34</v>
      </c>
      <c r="I24" s="56"/>
      <c r="J24" s="34"/>
      <c r="K24" s="27"/>
      <c r="L24" s="27"/>
      <c r="M24" s="27"/>
    </row>
    <row r="25" spans="1:14" ht="15" customHeight="1" thickBot="1" x14ac:dyDescent="0.35">
      <c r="A25" s="28"/>
      <c r="B25" s="28"/>
      <c r="C25" s="28"/>
      <c r="D25" s="28"/>
      <c r="E25" s="8" t="s">
        <v>64</v>
      </c>
      <c r="F25" s="53"/>
      <c r="G25" s="31"/>
      <c r="H25" s="8" t="s">
        <v>71</v>
      </c>
      <c r="I25" s="57"/>
      <c r="J25" s="35"/>
      <c r="K25" s="28"/>
      <c r="L25" s="28"/>
      <c r="M25" s="28"/>
    </row>
    <row r="26" spans="1:14" s="1" customFormat="1" ht="9" customHeight="1" thickBot="1" x14ac:dyDescent="0.35">
      <c r="A26" s="27"/>
      <c r="B26" s="27"/>
      <c r="C26" s="27"/>
      <c r="D26" s="27"/>
      <c r="E26" s="32"/>
      <c r="F26" s="32"/>
      <c r="G26" s="32"/>
      <c r="H26" s="27"/>
      <c r="I26" s="27"/>
      <c r="J26" s="27"/>
      <c r="K26" s="27"/>
      <c r="L26" s="27"/>
      <c r="M26" s="27"/>
    </row>
    <row r="27" spans="1:14" ht="15" customHeight="1" x14ac:dyDescent="0.3">
      <c r="A27" s="28"/>
      <c r="B27" s="14" t="s">
        <v>125</v>
      </c>
      <c r="C27" s="52"/>
      <c r="D27" s="28"/>
      <c r="E27" s="14" t="s">
        <v>116</v>
      </c>
      <c r="F27" s="56"/>
      <c r="G27" s="33"/>
      <c r="H27" s="13" t="s">
        <v>121</v>
      </c>
      <c r="I27" s="56"/>
      <c r="J27" s="28"/>
      <c r="K27" s="28"/>
      <c r="L27" s="28"/>
      <c r="M27" s="28"/>
    </row>
    <row r="28" spans="1:14" s="1" customFormat="1" ht="14.4" customHeight="1" thickBot="1" x14ac:dyDescent="0.35">
      <c r="A28" s="27"/>
      <c r="B28" s="11" t="s">
        <v>128</v>
      </c>
      <c r="C28" s="53"/>
      <c r="D28" s="27"/>
      <c r="E28" s="11" t="s">
        <v>115</v>
      </c>
      <c r="F28" s="57"/>
      <c r="G28" s="32"/>
      <c r="H28" s="11" t="s">
        <v>122</v>
      </c>
      <c r="I28" s="57"/>
      <c r="J28" s="27"/>
      <c r="K28" s="27"/>
      <c r="L28" s="27"/>
      <c r="M28" s="27"/>
    </row>
    <row r="29" spans="1:14" ht="15" customHeight="1" x14ac:dyDescent="0.3">
      <c r="A29" s="28"/>
      <c r="B29" s="14" t="s">
        <v>126</v>
      </c>
      <c r="C29" s="56"/>
      <c r="D29" s="28"/>
      <c r="E29" s="14" t="s">
        <v>118</v>
      </c>
      <c r="F29" s="56"/>
      <c r="G29" s="33"/>
      <c r="H29" s="15" t="s">
        <v>124</v>
      </c>
      <c r="I29" s="56"/>
      <c r="J29" s="28"/>
      <c r="K29" s="28"/>
      <c r="L29" s="28"/>
      <c r="M29" s="28"/>
    </row>
    <row r="30" spans="1:14" ht="15" customHeight="1" thickBot="1" x14ac:dyDescent="0.35">
      <c r="A30" s="28"/>
      <c r="B30" s="11" t="s">
        <v>127</v>
      </c>
      <c r="C30" s="57"/>
      <c r="D30" s="28"/>
      <c r="E30" s="11" t="s">
        <v>117</v>
      </c>
      <c r="F30" s="57"/>
      <c r="G30" s="33"/>
      <c r="H30" s="11" t="s">
        <v>123</v>
      </c>
      <c r="I30" s="57"/>
      <c r="J30" s="28"/>
      <c r="K30" s="28"/>
      <c r="L30" s="28"/>
      <c r="M30" s="28"/>
    </row>
    <row r="31" spans="1:14" ht="21" customHeight="1" x14ac:dyDescent="0.3">
      <c r="A31" s="28"/>
      <c r="B31" s="28"/>
      <c r="C31" s="28"/>
      <c r="D31" s="28"/>
      <c r="E31" s="33"/>
      <c r="F31" s="33"/>
      <c r="G31" s="33"/>
      <c r="H31" s="33"/>
      <c r="I31" s="33"/>
      <c r="J31" s="28"/>
      <c r="K31" s="28"/>
      <c r="L31" s="28"/>
      <c r="M31" s="28"/>
    </row>
    <row r="32" spans="1:14" ht="21" customHeight="1" x14ac:dyDescent="0.3"/>
    <row r="33" ht="21" customHeight="1" x14ac:dyDescent="0.3"/>
    <row r="34" ht="21" customHeight="1" x14ac:dyDescent="0.3"/>
    <row r="35" ht="21" customHeight="1" x14ac:dyDescent="0.3"/>
    <row r="36" ht="21" customHeight="1" x14ac:dyDescent="0.3"/>
    <row r="37" ht="21" customHeight="1" x14ac:dyDescent="0.3"/>
    <row r="38" ht="21" customHeight="1" x14ac:dyDescent="0.3"/>
    <row r="39" ht="21" customHeight="1" x14ac:dyDescent="0.3"/>
    <row r="40" ht="21" customHeight="1" x14ac:dyDescent="0.3"/>
    <row r="41" ht="21" customHeight="1" x14ac:dyDescent="0.3"/>
  </sheetData>
  <mergeCells count="50">
    <mergeCell ref="F16:F17"/>
    <mergeCell ref="C29:C30"/>
    <mergeCell ref="I29:I30"/>
    <mergeCell ref="I27:I28"/>
    <mergeCell ref="F29:F30"/>
    <mergeCell ref="F27:F28"/>
    <mergeCell ref="C20:C21"/>
    <mergeCell ref="I18:I19"/>
    <mergeCell ref="F24:F25"/>
    <mergeCell ref="F22:F23"/>
    <mergeCell ref="F20:F21"/>
    <mergeCell ref="F18:F19"/>
    <mergeCell ref="L12:L13"/>
    <mergeCell ref="L14:L15"/>
    <mergeCell ref="I22:I23"/>
    <mergeCell ref="I24:I25"/>
    <mergeCell ref="I20:I21"/>
    <mergeCell ref="I16:I17"/>
    <mergeCell ref="F12:F13"/>
    <mergeCell ref="F10:F11"/>
    <mergeCell ref="B1:L1"/>
    <mergeCell ref="C22:C23"/>
    <mergeCell ref="C27:C28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L8:L9"/>
    <mergeCell ref="L10:L11"/>
    <mergeCell ref="F8:F9"/>
    <mergeCell ref="F6:F7"/>
    <mergeCell ref="F4:F5"/>
    <mergeCell ref="F2:F3"/>
    <mergeCell ref="L16:L17"/>
    <mergeCell ref="I6:I7"/>
    <mergeCell ref="L2:L3"/>
    <mergeCell ref="L4:L5"/>
    <mergeCell ref="L6:L7"/>
    <mergeCell ref="I12:I13"/>
    <mergeCell ref="I14:I15"/>
    <mergeCell ref="I2:I3"/>
    <mergeCell ref="I4:I5"/>
    <mergeCell ref="I8:I9"/>
    <mergeCell ref="I10:I11"/>
    <mergeCell ref="F14:F15"/>
  </mergeCells>
  <printOptions horizontalCentered="1" verticalCentered="1"/>
  <pageMargins left="0.23622047244094491" right="0.23622047244094491" top="0.35433070866141736" bottom="0" header="0.31496062992125984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0A6C-5B86-4374-8374-24E790121B6B}">
  <dimension ref="A1:AM76"/>
  <sheetViews>
    <sheetView tabSelected="1" zoomScale="70" zoomScaleNormal="70" workbookViewId="0">
      <selection activeCell="Q11" sqref="Q11"/>
    </sheetView>
  </sheetViews>
  <sheetFormatPr baseColWidth="10" defaultRowHeight="14.4" x14ac:dyDescent="0.3"/>
  <cols>
    <col min="1" max="1" width="23.6640625" customWidth="1"/>
    <col min="2" max="2" width="8.109375" style="176" customWidth="1"/>
    <col min="3" max="3" width="8.33203125" style="134" customWidth="1"/>
    <col min="4" max="4" width="7.109375" style="63" customWidth="1"/>
    <col min="5" max="5" width="11.77734375" style="63" customWidth="1"/>
    <col min="6" max="6" width="7.109375" style="134" customWidth="1"/>
    <col min="7" max="7" width="11.77734375" style="63" customWidth="1"/>
    <col min="8" max="8" width="7.109375" style="134" customWidth="1"/>
    <col min="9" max="9" width="11.77734375" style="63" customWidth="1"/>
    <col min="10" max="10" width="7.109375" style="134" customWidth="1"/>
    <col min="11" max="11" width="11.6640625" style="63" customWidth="1"/>
    <col min="12" max="12" width="7.109375" style="134" customWidth="1"/>
    <col min="13" max="13" width="11.6640625" style="63" customWidth="1"/>
    <col min="14" max="14" width="7.109375" style="66" customWidth="1"/>
    <col min="15" max="15" width="11.6640625" style="66" customWidth="1"/>
    <col min="16" max="16" width="7.109375" style="66" customWidth="1"/>
    <col min="17" max="17" width="11.6640625" style="66" customWidth="1"/>
    <col min="18" max="18" width="7.109375" style="68" customWidth="1"/>
    <col min="19" max="19" width="11.6640625" style="68" customWidth="1"/>
    <col min="20" max="20" width="7.109375" style="66" customWidth="1"/>
    <col min="21" max="21" width="11.6640625" style="66" customWidth="1"/>
    <col min="22" max="22" width="7.109375" style="67" customWidth="1"/>
    <col min="23" max="23" width="11.6640625" style="66" customWidth="1"/>
    <col min="24" max="24" width="7.109375" customWidth="1"/>
    <col min="25" max="25" width="11.6640625" customWidth="1"/>
    <col min="26" max="26" width="7.109375" customWidth="1"/>
    <col min="27" max="27" width="11.6640625" customWidth="1"/>
    <col min="28" max="28" width="7.109375" customWidth="1"/>
    <col min="29" max="29" width="11.6640625" customWidth="1"/>
  </cols>
  <sheetData>
    <row r="1" spans="1:39" ht="15" thickBot="1" x14ac:dyDescent="0.35"/>
    <row r="2" spans="1:39" s="3" customFormat="1" ht="23.4" customHeight="1" thickBot="1" x14ac:dyDescent="0.35">
      <c r="A2" s="226" t="s">
        <v>208</v>
      </c>
      <c r="B2" s="227"/>
      <c r="C2" s="224" t="s">
        <v>302</v>
      </c>
      <c r="D2" s="210" t="s">
        <v>227</v>
      </c>
      <c r="E2" s="211"/>
      <c r="F2" s="236"/>
      <c r="G2" s="237"/>
      <c r="H2" s="212" t="s">
        <v>260</v>
      </c>
      <c r="I2" s="214"/>
      <c r="J2" s="213" t="s">
        <v>261</v>
      </c>
      <c r="K2" s="213"/>
      <c r="L2" s="212" t="s">
        <v>262</v>
      </c>
      <c r="M2" s="214"/>
      <c r="N2" s="215" t="s">
        <v>231</v>
      </c>
      <c r="O2" s="216"/>
      <c r="P2" s="217" t="s">
        <v>232</v>
      </c>
      <c r="Q2" s="218"/>
      <c r="R2" s="217" t="s">
        <v>233</v>
      </c>
      <c r="S2" s="218"/>
      <c r="T2" s="217" t="s">
        <v>234</v>
      </c>
      <c r="U2" s="218"/>
      <c r="V2" s="238"/>
      <c r="W2" s="239"/>
    </row>
    <row r="3" spans="1:39" s="3" customFormat="1" ht="22.8" customHeight="1" thickBot="1" x14ac:dyDescent="0.35">
      <c r="A3" s="228" t="s">
        <v>304</v>
      </c>
      <c r="B3" s="232" t="s">
        <v>303</v>
      </c>
      <c r="C3" s="225" t="s">
        <v>215</v>
      </c>
      <c r="D3" s="219" t="s">
        <v>215</v>
      </c>
      <c r="E3" s="220" t="s">
        <v>220</v>
      </c>
      <c r="F3" s="240" t="s">
        <v>215</v>
      </c>
      <c r="G3" s="241" t="s">
        <v>220</v>
      </c>
      <c r="H3" s="242" t="s">
        <v>215</v>
      </c>
      <c r="I3" s="243" t="s">
        <v>220</v>
      </c>
      <c r="J3" s="242" t="s">
        <v>215</v>
      </c>
      <c r="K3" s="243" t="s">
        <v>220</v>
      </c>
      <c r="L3" s="242" t="s">
        <v>215</v>
      </c>
      <c r="M3" s="244" t="s">
        <v>220</v>
      </c>
      <c r="N3" s="245" t="s">
        <v>215</v>
      </c>
      <c r="O3" s="243" t="s">
        <v>220</v>
      </c>
      <c r="P3" s="246" t="s">
        <v>215</v>
      </c>
      <c r="Q3" s="244" t="s">
        <v>220</v>
      </c>
      <c r="R3" s="246" t="s">
        <v>215</v>
      </c>
      <c r="S3" s="244" t="s">
        <v>220</v>
      </c>
      <c r="T3" s="245" t="s">
        <v>215</v>
      </c>
      <c r="U3" s="244" t="s">
        <v>220</v>
      </c>
      <c r="V3" s="238"/>
      <c r="W3" s="239"/>
    </row>
    <row r="4" spans="1:39" x14ac:dyDescent="0.3">
      <c r="A4" s="189" t="s">
        <v>216</v>
      </c>
      <c r="B4" s="180">
        <v>11.8835</v>
      </c>
      <c r="C4" s="186">
        <f>SUM(D4,F4,H4,J4,L4,N4,P4,R4,T4,V4,X4,Z4,AB4,AD4)</f>
        <v>237.52499999999998</v>
      </c>
      <c r="D4" s="185">
        <v>41.65</v>
      </c>
      <c r="E4" s="148">
        <f>D4*B4</f>
        <v>494.94777499999998</v>
      </c>
      <c r="F4" s="184"/>
      <c r="G4" s="148">
        <f>F4*B4</f>
        <v>0</v>
      </c>
      <c r="H4" s="184">
        <v>19.308</v>
      </c>
      <c r="I4" s="149">
        <f>H4*B4</f>
        <v>229.446618</v>
      </c>
      <c r="J4" s="185">
        <v>41.607999999999997</v>
      </c>
      <c r="K4" s="148">
        <f>J4*B4</f>
        <v>494.44866799999994</v>
      </c>
      <c r="L4" s="184">
        <v>9.69</v>
      </c>
      <c r="M4" s="149">
        <f>L4*B4</f>
        <v>115.15111499999999</v>
      </c>
      <c r="N4" s="185"/>
      <c r="O4" s="149">
        <f>N4*B4</f>
        <v>0</v>
      </c>
      <c r="P4" s="185">
        <v>59.1</v>
      </c>
      <c r="Q4" s="148">
        <f>P4*B4</f>
        <v>702.31484999999998</v>
      </c>
      <c r="R4" s="184"/>
      <c r="S4" s="148">
        <f>R4*B4</f>
        <v>0</v>
      </c>
      <c r="T4" s="184">
        <v>66.168999999999997</v>
      </c>
      <c r="U4" s="148">
        <f>T4*B4</f>
        <v>786.31931149999991</v>
      </c>
      <c r="V4" s="184"/>
      <c r="W4" s="148">
        <f>V4*B4</f>
        <v>0</v>
      </c>
      <c r="X4" s="184"/>
      <c r="Y4" s="149">
        <f>X4*B4</f>
        <v>0</v>
      </c>
      <c r="Z4" s="185"/>
      <c r="AA4" s="148">
        <f>Z4*B4</f>
        <v>0</v>
      </c>
      <c r="AB4" s="91"/>
      <c r="AC4" s="149">
        <f>AB4*B4</f>
        <v>0</v>
      </c>
      <c r="AD4" s="185"/>
      <c r="AE4" s="148">
        <f>AD4*B4</f>
        <v>0</v>
      </c>
      <c r="AF4" s="89"/>
      <c r="AG4" s="88">
        <f>AF4*B4</f>
        <v>0</v>
      </c>
      <c r="AH4" s="128"/>
      <c r="AI4" s="90">
        <f>AH4*B4</f>
        <v>0</v>
      </c>
      <c r="AJ4" s="87"/>
      <c r="AK4" s="88">
        <f>AJ4*B4</f>
        <v>0</v>
      </c>
      <c r="AL4" s="89"/>
      <c r="AM4" s="90">
        <f>AL4*B4</f>
        <v>0</v>
      </c>
    </row>
    <row r="5" spans="1:39" s="62" customFormat="1" ht="13.8" x14ac:dyDescent="0.3">
      <c r="A5" s="190" t="s">
        <v>218</v>
      </c>
      <c r="B5" s="181">
        <v>0.28999999999999998</v>
      </c>
      <c r="C5" s="187">
        <f t="shared" ref="C5:C35" si="0">SUM(D5,F5,H5,J5,L5,N5,P5,R5,T5,V5,X5,Z5,AB5,AD5)</f>
        <v>237.52499999999998</v>
      </c>
      <c r="D5" s="78">
        <v>41.65</v>
      </c>
      <c r="E5" s="150">
        <f t="shared" ref="E5:E35" si="1">D5*B5</f>
        <v>12.078499999999998</v>
      </c>
      <c r="F5" s="129"/>
      <c r="G5" s="151">
        <f t="shared" ref="G5:G35" si="2">F5*B5</f>
        <v>0</v>
      </c>
      <c r="H5" s="129">
        <v>19.308</v>
      </c>
      <c r="I5" s="152">
        <f t="shared" ref="I5:I34" si="3">H5*B5</f>
        <v>5.5993199999999996</v>
      </c>
      <c r="J5" s="153">
        <v>41.607999999999997</v>
      </c>
      <c r="K5" s="151">
        <f t="shared" ref="K5:K35" si="4">J5*B5</f>
        <v>12.066319999999997</v>
      </c>
      <c r="L5" s="129">
        <v>9.69</v>
      </c>
      <c r="M5" s="152">
        <f t="shared" ref="M5:M35" si="5">L5*B5</f>
        <v>2.8100999999999998</v>
      </c>
      <c r="N5" s="78"/>
      <c r="O5" s="154">
        <f>N5*B5</f>
        <v>0</v>
      </c>
      <c r="P5" s="78">
        <v>59.1</v>
      </c>
      <c r="Q5" s="150">
        <f>P5*B5</f>
        <v>17.138999999999999</v>
      </c>
      <c r="R5" s="80"/>
      <c r="S5" s="150">
        <f>R5*B5</f>
        <v>0</v>
      </c>
      <c r="T5" s="80">
        <v>66.168999999999997</v>
      </c>
      <c r="U5" s="150">
        <f>T5*B5</f>
        <v>19.189009999999996</v>
      </c>
      <c r="V5" s="155"/>
      <c r="W5" s="151">
        <f>V5*B5</f>
        <v>0</v>
      </c>
      <c r="X5" s="80"/>
      <c r="Y5" s="154">
        <f>X5*B5</f>
        <v>0</v>
      </c>
      <c r="Z5" s="78"/>
      <c r="AA5" s="150">
        <f>Z5*B5</f>
        <v>0</v>
      </c>
      <c r="AB5" s="84"/>
      <c r="AC5" s="154">
        <f>AB5*B5</f>
        <v>0</v>
      </c>
      <c r="AD5" s="78"/>
      <c r="AE5" s="150">
        <f>AD5*B5</f>
        <v>0</v>
      </c>
      <c r="AF5" s="80"/>
      <c r="AG5" s="79">
        <f>AF5*B5</f>
        <v>0</v>
      </c>
      <c r="AH5" s="129"/>
      <c r="AI5" s="81">
        <f>AH5*B5</f>
        <v>0</v>
      </c>
      <c r="AJ5" s="78"/>
      <c r="AK5" s="79">
        <f>AJ5*B5</f>
        <v>0</v>
      </c>
      <c r="AL5" s="80"/>
      <c r="AM5" s="81">
        <f>AL5*B5</f>
        <v>0</v>
      </c>
    </row>
    <row r="6" spans="1:39" x14ac:dyDescent="0.3">
      <c r="A6" s="191" t="s">
        <v>239</v>
      </c>
      <c r="B6" s="182">
        <v>25.5</v>
      </c>
      <c r="C6" s="196">
        <f t="shared" si="0"/>
        <v>5.15</v>
      </c>
      <c r="D6" s="70"/>
      <c r="E6" s="156">
        <f t="shared" si="1"/>
        <v>0</v>
      </c>
      <c r="F6" s="130"/>
      <c r="G6" s="157">
        <f t="shared" si="2"/>
        <v>0</v>
      </c>
      <c r="H6" s="130"/>
      <c r="I6" s="158">
        <f t="shared" si="3"/>
        <v>0</v>
      </c>
      <c r="J6" s="159"/>
      <c r="K6" s="157">
        <f t="shared" si="4"/>
        <v>0</v>
      </c>
      <c r="L6" s="130">
        <v>5.15</v>
      </c>
      <c r="M6" s="158">
        <f t="shared" si="5"/>
        <v>131.32500000000002</v>
      </c>
      <c r="N6" s="70"/>
      <c r="O6" s="160">
        <f>N6*B6</f>
        <v>0</v>
      </c>
      <c r="P6" s="70"/>
      <c r="Q6" s="156">
        <f>P6*B6</f>
        <v>0</v>
      </c>
      <c r="R6" s="69"/>
      <c r="S6" s="156">
        <f>R6*B6</f>
        <v>0</v>
      </c>
      <c r="T6" s="69"/>
      <c r="U6" s="156">
        <f>T6*B6</f>
        <v>0</v>
      </c>
      <c r="V6" s="161"/>
      <c r="W6" s="157">
        <f>V6*B6</f>
        <v>0</v>
      </c>
      <c r="X6" s="69"/>
      <c r="Y6" s="160">
        <f>X6*B6</f>
        <v>0</v>
      </c>
      <c r="Z6" s="70"/>
      <c r="AA6" s="156">
        <f>Z6*B6</f>
        <v>0</v>
      </c>
      <c r="AB6" s="85"/>
      <c r="AC6" s="160">
        <f>AB6*B6</f>
        <v>0</v>
      </c>
      <c r="AD6" s="70"/>
      <c r="AE6" s="156">
        <f>AD6*B6</f>
        <v>0</v>
      </c>
      <c r="AF6" s="69"/>
      <c r="AG6" s="71">
        <f>AF6*B6</f>
        <v>0</v>
      </c>
      <c r="AH6" s="130"/>
      <c r="AI6" s="72">
        <f>AH6*B6</f>
        <v>0</v>
      </c>
      <c r="AJ6" s="70"/>
      <c r="AK6" s="71">
        <f>AJ6*B6</f>
        <v>0</v>
      </c>
      <c r="AL6" s="69"/>
      <c r="AM6" s="72">
        <f>AL6*B6</f>
        <v>0</v>
      </c>
    </row>
    <row r="7" spans="1:39" x14ac:dyDescent="0.3">
      <c r="A7" s="190" t="s">
        <v>257</v>
      </c>
      <c r="B7" s="181">
        <v>27.5</v>
      </c>
      <c r="C7" s="195">
        <f t="shared" si="0"/>
        <v>0</v>
      </c>
      <c r="D7" s="78"/>
      <c r="E7" s="150">
        <f t="shared" si="1"/>
        <v>0</v>
      </c>
      <c r="F7" s="129"/>
      <c r="G7" s="151">
        <f t="shared" si="2"/>
        <v>0</v>
      </c>
      <c r="H7" s="129"/>
      <c r="I7" s="152">
        <f t="shared" si="3"/>
        <v>0</v>
      </c>
      <c r="J7" s="153"/>
      <c r="K7" s="151">
        <f t="shared" si="4"/>
        <v>0</v>
      </c>
      <c r="L7" s="129"/>
      <c r="M7" s="152">
        <f t="shared" si="5"/>
        <v>0</v>
      </c>
      <c r="N7" s="78"/>
      <c r="O7" s="154">
        <f>N7*B7</f>
        <v>0</v>
      </c>
      <c r="P7" s="78"/>
      <c r="Q7" s="150">
        <f>P7*B7</f>
        <v>0</v>
      </c>
      <c r="R7" s="80">
        <v>0</v>
      </c>
      <c r="S7" s="150">
        <f>R7*B7</f>
        <v>0</v>
      </c>
      <c r="T7" s="80"/>
      <c r="U7" s="150">
        <f>T7*B7</f>
        <v>0</v>
      </c>
      <c r="V7" s="162"/>
      <c r="W7" s="151">
        <f>V7*B7</f>
        <v>0</v>
      </c>
      <c r="X7" s="80"/>
      <c r="Y7" s="154">
        <f>X7*B7</f>
        <v>0</v>
      </c>
      <c r="Z7" s="78"/>
      <c r="AA7" s="150">
        <f>Z7*B7</f>
        <v>0</v>
      </c>
      <c r="AB7" s="84"/>
      <c r="AC7" s="154">
        <f>AB7*B7</f>
        <v>0</v>
      </c>
      <c r="AD7" s="78"/>
      <c r="AE7" s="150">
        <f>AD7*B7</f>
        <v>0</v>
      </c>
      <c r="AF7" s="80"/>
      <c r="AG7" s="79">
        <f>AF7*B7</f>
        <v>0</v>
      </c>
      <c r="AH7" s="129"/>
      <c r="AI7" s="81">
        <f>AH7*B7</f>
        <v>0</v>
      </c>
      <c r="AJ7" s="78"/>
      <c r="AK7" s="79">
        <f>AJ7*B7</f>
        <v>0</v>
      </c>
      <c r="AL7" s="80"/>
      <c r="AM7" s="81">
        <f>AL7*B7</f>
        <v>0</v>
      </c>
    </row>
    <row r="8" spans="1:39" s="68" customFormat="1" x14ac:dyDescent="0.3">
      <c r="A8" s="192" t="s">
        <v>217</v>
      </c>
      <c r="B8" s="182">
        <v>21.5</v>
      </c>
      <c r="C8" s="196">
        <f t="shared" si="0"/>
        <v>14</v>
      </c>
      <c r="D8" s="70">
        <v>3</v>
      </c>
      <c r="E8" s="156">
        <f t="shared" si="1"/>
        <v>64.5</v>
      </c>
      <c r="F8" s="130"/>
      <c r="G8" s="157">
        <f t="shared" si="2"/>
        <v>0</v>
      </c>
      <c r="H8" s="130"/>
      <c r="I8" s="158">
        <f t="shared" si="3"/>
        <v>0</v>
      </c>
      <c r="J8" s="159"/>
      <c r="K8" s="157">
        <f t="shared" si="4"/>
        <v>0</v>
      </c>
      <c r="L8" s="130"/>
      <c r="M8" s="158">
        <f t="shared" si="5"/>
        <v>0</v>
      </c>
      <c r="N8" s="70"/>
      <c r="O8" s="160">
        <f>N8*B8</f>
        <v>0</v>
      </c>
      <c r="P8" s="70">
        <v>3</v>
      </c>
      <c r="Q8" s="156">
        <f>P8*B8</f>
        <v>64.5</v>
      </c>
      <c r="R8" s="69">
        <v>4</v>
      </c>
      <c r="S8" s="156">
        <f>R8*B8</f>
        <v>86</v>
      </c>
      <c r="T8" s="69">
        <v>4</v>
      </c>
      <c r="U8" s="156">
        <f>T8*B8</f>
        <v>86</v>
      </c>
      <c r="V8" s="161"/>
      <c r="W8" s="157">
        <f>V8*B8</f>
        <v>0</v>
      </c>
      <c r="X8" s="69"/>
      <c r="Y8" s="160">
        <f>X8*B8</f>
        <v>0</v>
      </c>
      <c r="Z8" s="70"/>
      <c r="AA8" s="156">
        <f>Z8*B8</f>
        <v>0</v>
      </c>
      <c r="AB8" s="85"/>
      <c r="AC8" s="160">
        <f>AB8*B8</f>
        <v>0</v>
      </c>
      <c r="AD8" s="70"/>
      <c r="AE8" s="156">
        <f>AD8*B8</f>
        <v>0</v>
      </c>
      <c r="AF8" s="69"/>
      <c r="AG8" s="71">
        <f>AF8*B8</f>
        <v>0</v>
      </c>
      <c r="AH8" s="130"/>
      <c r="AI8" s="72">
        <f>AH8*B8</f>
        <v>0</v>
      </c>
      <c r="AJ8" s="70"/>
      <c r="AK8" s="71">
        <f>AJ8*B8</f>
        <v>0</v>
      </c>
      <c r="AL8" s="69"/>
      <c r="AM8" s="72">
        <f>AL8*B8</f>
        <v>0</v>
      </c>
    </row>
    <row r="9" spans="1:39" x14ac:dyDescent="0.3">
      <c r="A9" s="193" t="s">
        <v>209</v>
      </c>
      <c r="B9" s="181">
        <v>8.91</v>
      </c>
      <c r="C9" s="195">
        <f t="shared" si="0"/>
        <v>30</v>
      </c>
      <c r="D9" s="78">
        <v>10</v>
      </c>
      <c r="E9" s="150">
        <v>75.5</v>
      </c>
      <c r="F9" s="129"/>
      <c r="G9" s="151">
        <f t="shared" si="2"/>
        <v>0</v>
      </c>
      <c r="H9" s="129"/>
      <c r="I9" s="152">
        <f t="shared" si="3"/>
        <v>0</v>
      </c>
      <c r="J9" s="153"/>
      <c r="K9" s="151">
        <f t="shared" si="4"/>
        <v>0</v>
      </c>
      <c r="L9" s="129"/>
      <c r="M9" s="152">
        <f t="shared" si="5"/>
        <v>0</v>
      </c>
      <c r="N9" s="78"/>
      <c r="O9" s="154">
        <f>N9*B9</f>
        <v>0</v>
      </c>
      <c r="P9" s="78">
        <v>10</v>
      </c>
      <c r="Q9" s="150">
        <f>P9*B9</f>
        <v>89.1</v>
      </c>
      <c r="R9" s="80">
        <v>10</v>
      </c>
      <c r="S9" s="150">
        <f>R9*B9</f>
        <v>89.1</v>
      </c>
      <c r="T9" s="80"/>
      <c r="U9" s="150">
        <f>T9*B9</f>
        <v>0</v>
      </c>
      <c r="V9" s="162"/>
      <c r="W9" s="151">
        <f>V9*B9</f>
        <v>0</v>
      </c>
      <c r="X9" s="80"/>
      <c r="Y9" s="154">
        <f>X9*B9</f>
        <v>0</v>
      </c>
      <c r="Z9" s="78"/>
      <c r="AA9" s="150">
        <f>Z9*B9</f>
        <v>0</v>
      </c>
      <c r="AB9" s="84"/>
      <c r="AC9" s="154">
        <f>AB9*B9</f>
        <v>0</v>
      </c>
      <c r="AD9" s="78"/>
      <c r="AE9" s="150">
        <f>AD9*B9</f>
        <v>0</v>
      </c>
      <c r="AF9" s="80"/>
      <c r="AG9" s="79">
        <f>AF9*B9</f>
        <v>0</v>
      </c>
      <c r="AH9" s="129"/>
      <c r="AI9" s="81">
        <f>AH9*B9</f>
        <v>0</v>
      </c>
      <c r="AJ9" s="78"/>
      <c r="AK9" s="79">
        <f>AJ9*B9</f>
        <v>0</v>
      </c>
      <c r="AL9" s="80"/>
      <c r="AM9" s="81">
        <f>AL9*B9</f>
        <v>0</v>
      </c>
    </row>
    <row r="10" spans="1:39" s="68" customFormat="1" x14ac:dyDescent="0.3">
      <c r="A10" s="192" t="s">
        <v>211</v>
      </c>
      <c r="B10" s="182">
        <v>6.9</v>
      </c>
      <c r="C10" s="196">
        <f t="shared" si="0"/>
        <v>12</v>
      </c>
      <c r="D10" s="70"/>
      <c r="E10" s="156">
        <f t="shared" si="1"/>
        <v>0</v>
      </c>
      <c r="F10" s="130"/>
      <c r="G10" s="157">
        <f t="shared" si="2"/>
        <v>0</v>
      </c>
      <c r="H10" s="130"/>
      <c r="I10" s="158">
        <f t="shared" si="3"/>
        <v>0</v>
      </c>
      <c r="J10" s="159"/>
      <c r="K10" s="157">
        <f t="shared" si="4"/>
        <v>0</v>
      </c>
      <c r="L10" s="130"/>
      <c r="M10" s="158">
        <f t="shared" si="5"/>
        <v>0</v>
      </c>
      <c r="N10" s="70"/>
      <c r="O10" s="160">
        <f>N10*B10</f>
        <v>0</v>
      </c>
      <c r="P10" s="70">
        <v>6</v>
      </c>
      <c r="Q10" s="156">
        <f>P10*B10</f>
        <v>41.400000000000006</v>
      </c>
      <c r="R10" s="69"/>
      <c r="S10" s="156">
        <f>R10*B10</f>
        <v>0</v>
      </c>
      <c r="T10" s="69">
        <v>6</v>
      </c>
      <c r="U10" s="156">
        <f>T10*B10</f>
        <v>41.400000000000006</v>
      </c>
      <c r="V10" s="161"/>
      <c r="W10" s="157">
        <f>V10*B10</f>
        <v>0</v>
      </c>
      <c r="X10" s="69"/>
      <c r="Y10" s="160">
        <f>X10*B10</f>
        <v>0</v>
      </c>
      <c r="Z10" s="70"/>
      <c r="AA10" s="156">
        <f>Z10*B10</f>
        <v>0</v>
      </c>
      <c r="AB10" s="85"/>
      <c r="AC10" s="160">
        <f>AB10*B10</f>
        <v>0</v>
      </c>
      <c r="AD10" s="70"/>
      <c r="AE10" s="156">
        <f>AD10*B10</f>
        <v>0</v>
      </c>
      <c r="AF10" s="69"/>
      <c r="AG10" s="71">
        <f>AF10*B10</f>
        <v>0</v>
      </c>
      <c r="AH10" s="130"/>
      <c r="AI10" s="72">
        <f>AH10*B10</f>
        <v>0</v>
      </c>
      <c r="AJ10" s="70"/>
      <c r="AK10" s="71">
        <f>AJ10*B10</f>
        <v>0</v>
      </c>
      <c r="AL10" s="69"/>
      <c r="AM10" s="72">
        <f>AL10*B10</f>
        <v>0</v>
      </c>
    </row>
    <row r="11" spans="1:39" x14ac:dyDescent="0.3">
      <c r="A11" s="193" t="s">
        <v>223</v>
      </c>
      <c r="B11" s="181">
        <v>6.1</v>
      </c>
      <c r="C11" s="195">
        <f t="shared" si="0"/>
        <v>36</v>
      </c>
      <c r="D11" s="78"/>
      <c r="E11" s="150">
        <f t="shared" si="1"/>
        <v>0</v>
      </c>
      <c r="F11" s="129"/>
      <c r="G11" s="151">
        <f t="shared" si="2"/>
        <v>0</v>
      </c>
      <c r="H11" s="129"/>
      <c r="I11" s="152">
        <f t="shared" si="3"/>
        <v>0</v>
      </c>
      <c r="J11" s="153"/>
      <c r="K11" s="151">
        <f t="shared" si="4"/>
        <v>0</v>
      </c>
      <c r="L11" s="129"/>
      <c r="M11" s="152">
        <f t="shared" si="5"/>
        <v>0</v>
      </c>
      <c r="N11" s="78"/>
      <c r="O11" s="154">
        <f>N11*B11</f>
        <v>0</v>
      </c>
      <c r="P11" s="78">
        <v>36</v>
      </c>
      <c r="Q11" s="150">
        <f>P11*B11</f>
        <v>219.6</v>
      </c>
      <c r="R11" s="80"/>
      <c r="S11" s="150">
        <f>R11*B11</f>
        <v>0</v>
      </c>
      <c r="T11" s="80"/>
      <c r="U11" s="150">
        <f>T11*B11</f>
        <v>0</v>
      </c>
      <c r="V11" s="162"/>
      <c r="W11" s="151">
        <f>V11*B11</f>
        <v>0</v>
      </c>
      <c r="X11" s="80"/>
      <c r="Y11" s="154">
        <f>X11*B11</f>
        <v>0</v>
      </c>
      <c r="Z11" s="78"/>
      <c r="AA11" s="150">
        <f>Z11*B11</f>
        <v>0</v>
      </c>
      <c r="AB11" s="84"/>
      <c r="AC11" s="154">
        <f>AB11*B11</f>
        <v>0</v>
      </c>
      <c r="AD11" s="78"/>
      <c r="AE11" s="150">
        <f>AD11*B11</f>
        <v>0</v>
      </c>
      <c r="AF11" s="80"/>
      <c r="AG11" s="79">
        <f>AF11*B11</f>
        <v>0</v>
      </c>
      <c r="AH11" s="129"/>
      <c r="AI11" s="81">
        <f>AH11*B11</f>
        <v>0</v>
      </c>
      <c r="AJ11" s="78"/>
      <c r="AK11" s="79">
        <f>AJ11*B11</f>
        <v>0</v>
      </c>
      <c r="AL11" s="80"/>
      <c r="AM11" s="81">
        <f>AL11*B11</f>
        <v>0</v>
      </c>
    </row>
    <row r="12" spans="1:39" s="68" customFormat="1" x14ac:dyDescent="0.3">
      <c r="A12" s="192" t="s">
        <v>210</v>
      </c>
      <c r="B12" s="182">
        <v>35</v>
      </c>
      <c r="C12" s="196">
        <f t="shared" si="0"/>
        <v>2</v>
      </c>
      <c r="D12" s="70"/>
      <c r="E12" s="156">
        <f t="shared" si="1"/>
        <v>0</v>
      </c>
      <c r="F12" s="130"/>
      <c r="G12" s="157">
        <f t="shared" si="2"/>
        <v>0</v>
      </c>
      <c r="H12" s="130"/>
      <c r="I12" s="158">
        <f t="shared" si="3"/>
        <v>0</v>
      </c>
      <c r="J12" s="159"/>
      <c r="K12" s="157">
        <f t="shared" si="4"/>
        <v>0</v>
      </c>
      <c r="L12" s="130"/>
      <c r="M12" s="158">
        <f t="shared" si="5"/>
        <v>0</v>
      </c>
      <c r="N12" s="70"/>
      <c r="O12" s="160">
        <f>N12*B12</f>
        <v>0</v>
      </c>
      <c r="P12" s="70">
        <v>1</v>
      </c>
      <c r="Q12" s="156">
        <f>P12*B12</f>
        <v>35</v>
      </c>
      <c r="R12" s="69">
        <v>1</v>
      </c>
      <c r="S12" s="156">
        <f>R12*B12</f>
        <v>35</v>
      </c>
      <c r="T12" s="69"/>
      <c r="U12" s="156">
        <f>T12*B12</f>
        <v>0</v>
      </c>
      <c r="V12" s="161"/>
      <c r="W12" s="157">
        <f>V12*B12</f>
        <v>0</v>
      </c>
      <c r="X12" s="69"/>
      <c r="Y12" s="160">
        <f>X12*B12</f>
        <v>0</v>
      </c>
      <c r="Z12" s="70"/>
      <c r="AA12" s="156">
        <f>Z12*B12</f>
        <v>0</v>
      </c>
      <c r="AB12" s="85"/>
      <c r="AC12" s="160">
        <f>AB12*B12</f>
        <v>0</v>
      </c>
      <c r="AD12" s="70"/>
      <c r="AE12" s="156">
        <f>AD12*B12</f>
        <v>0</v>
      </c>
      <c r="AF12" s="69"/>
      <c r="AG12" s="71">
        <f>AF12*B12</f>
        <v>0</v>
      </c>
      <c r="AH12" s="130"/>
      <c r="AI12" s="72">
        <f>AH12*B12</f>
        <v>0</v>
      </c>
      <c r="AJ12" s="70"/>
      <c r="AK12" s="71">
        <f>AJ12*B12</f>
        <v>0</v>
      </c>
      <c r="AL12" s="69"/>
      <c r="AM12" s="72">
        <f>AL12*B12</f>
        <v>0</v>
      </c>
    </row>
    <row r="13" spans="1:39" x14ac:dyDescent="0.3">
      <c r="A13" s="193" t="s">
        <v>228</v>
      </c>
      <c r="B13" s="181">
        <v>1.3</v>
      </c>
      <c r="C13" s="195">
        <f t="shared" si="0"/>
        <v>10</v>
      </c>
      <c r="D13" s="78">
        <v>10</v>
      </c>
      <c r="E13" s="150">
        <f t="shared" si="1"/>
        <v>13</v>
      </c>
      <c r="F13" s="129"/>
      <c r="G13" s="151">
        <f t="shared" si="2"/>
        <v>0</v>
      </c>
      <c r="H13" s="129"/>
      <c r="I13" s="152">
        <f t="shared" si="3"/>
        <v>0</v>
      </c>
      <c r="J13" s="153"/>
      <c r="K13" s="151">
        <f t="shared" si="4"/>
        <v>0</v>
      </c>
      <c r="L13" s="129"/>
      <c r="M13" s="152">
        <f t="shared" si="5"/>
        <v>0</v>
      </c>
      <c r="N13" s="78"/>
      <c r="O13" s="154">
        <f>N13*B13</f>
        <v>0</v>
      </c>
      <c r="P13" s="78"/>
      <c r="Q13" s="150">
        <f>P13*B13</f>
        <v>0</v>
      </c>
      <c r="R13" s="80"/>
      <c r="S13" s="150">
        <f>R13*B13</f>
        <v>0</v>
      </c>
      <c r="T13" s="80"/>
      <c r="U13" s="150">
        <f>T13*B13</f>
        <v>0</v>
      </c>
      <c r="V13" s="163"/>
      <c r="W13" s="151">
        <f>V13*B13</f>
        <v>0</v>
      </c>
      <c r="X13" s="80"/>
      <c r="Y13" s="154">
        <f>X13*B13</f>
        <v>0</v>
      </c>
      <c r="Z13" s="78"/>
      <c r="AA13" s="150">
        <f>Z13*B13</f>
        <v>0</v>
      </c>
      <c r="AB13" s="84"/>
      <c r="AC13" s="154">
        <f>AB13*B13</f>
        <v>0</v>
      </c>
      <c r="AD13" s="78"/>
      <c r="AE13" s="150">
        <f>AD13*B13</f>
        <v>0</v>
      </c>
      <c r="AF13" s="80"/>
      <c r="AG13" s="79">
        <f>AF13*B13</f>
        <v>0</v>
      </c>
      <c r="AH13" s="129"/>
      <c r="AI13" s="81">
        <f>AH13*B13</f>
        <v>0</v>
      </c>
      <c r="AJ13" s="78"/>
      <c r="AK13" s="79">
        <f>AJ13*B13</f>
        <v>0</v>
      </c>
      <c r="AL13" s="80"/>
      <c r="AM13" s="81">
        <f>AL13*B13</f>
        <v>0</v>
      </c>
    </row>
    <row r="14" spans="1:39" s="68" customFormat="1" x14ac:dyDescent="0.3">
      <c r="A14" s="192" t="s">
        <v>212</v>
      </c>
      <c r="B14" s="182">
        <v>37.700000000000003</v>
      </c>
      <c r="C14" s="196">
        <f t="shared" si="0"/>
        <v>4</v>
      </c>
      <c r="D14" s="70"/>
      <c r="E14" s="156">
        <f t="shared" si="1"/>
        <v>0</v>
      </c>
      <c r="F14" s="130"/>
      <c r="G14" s="157">
        <f t="shared" si="2"/>
        <v>0</v>
      </c>
      <c r="H14" s="130"/>
      <c r="I14" s="158">
        <f t="shared" si="3"/>
        <v>0</v>
      </c>
      <c r="J14" s="159"/>
      <c r="K14" s="157">
        <f t="shared" si="4"/>
        <v>0</v>
      </c>
      <c r="L14" s="130"/>
      <c r="M14" s="158">
        <f t="shared" si="5"/>
        <v>0</v>
      </c>
      <c r="N14" s="70"/>
      <c r="O14" s="160">
        <f>N14*B14</f>
        <v>0</v>
      </c>
      <c r="P14" s="70">
        <v>2</v>
      </c>
      <c r="Q14" s="156">
        <f>P14*B14</f>
        <v>75.400000000000006</v>
      </c>
      <c r="R14" s="69"/>
      <c r="S14" s="156">
        <f>R14*B14</f>
        <v>0</v>
      </c>
      <c r="T14" s="69">
        <v>2</v>
      </c>
      <c r="U14" s="156">
        <f>T14*B14</f>
        <v>75.400000000000006</v>
      </c>
      <c r="V14" s="164"/>
      <c r="W14" s="157">
        <f>V14*B14</f>
        <v>0</v>
      </c>
      <c r="X14" s="69"/>
      <c r="Y14" s="160">
        <f>X14*B14</f>
        <v>0</v>
      </c>
      <c r="Z14" s="70"/>
      <c r="AA14" s="156">
        <f>Z14*B14</f>
        <v>0</v>
      </c>
      <c r="AB14" s="85"/>
      <c r="AC14" s="160">
        <f>AB14*B14</f>
        <v>0</v>
      </c>
      <c r="AD14" s="70"/>
      <c r="AE14" s="156">
        <f>AD14*B14</f>
        <v>0</v>
      </c>
      <c r="AF14" s="69"/>
      <c r="AG14" s="71">
        <f>AF14*B14</f>
        <v>0</v>
      </c>
      <c r="AH14" s="130"/>
      <c r="AI14" s="72">
        <f>AH14*B14</f>
        <v>0</v>
      </c>
      <c r="AJ14" s="70"/>
      <c r="AK14" s="71">
        <f>AJ14*B14</f>
        <v>0</v>
      </c>
      <c r="AL14" s="69"/>
      <c r="AM14" s="72">
        <f>AL14*B14</f>
        <v>0</v>
      </c>
    </row>
    <row r="15" spans="1:39" x14ac:dyDescent="0.3">
      <c r="A15" s="193" t="s">
        <v>214</v>
      </c>
      <c r="B15" s="181">
        <v>4.45</v>
      </c>
      <c r="C15" s="195">
        <f t="shared" si="0"/>
        <v>24</v>
      </c>
      <c r="D15" s="78"/>
      <c r="E15" s="150">
        <f t="shared" si="1"/>
        <v>0</v>
      </c>
      <c r="F15" s="129"/>
      <c r="G15" s="151">
        <f t="shared" si="2"/>
        <v>0</v>
      </c>
      <c r="H15" s="129">
        <v>12</v>
      </c>
      <c r="I15" s="152">
        <f t="shared" si="3"/>
        <v>53.400000000000006</v>
      </c>
      <c r="J15" s="153"/>
      <c r="K15" s="151">
        <f t="shared" si="4"/>
        <v>0</v>
      </c>
      <c r="L15" s="129"/>
      <c r="M15" s="152">
        <f t="shared" si="5"/>
        <v>0</v>
      </c>
      <c r="N15" s="78"/>
      <c r="O15" s="154">
        <f>N15*B15</f>
        <v>0</v>
      </c>
      <c r="P15" s="78"/>
      <c r="Q15" s="150">
        <f>P15*B15</f>
        <v>0</v>
      </c>
      <c r="R15" s="80"/>
      <c r="S15" s="150">
        <f>R15*B15</f>
        <v>0</v>
      </c>
      <c r="T15" s="80">
        <v>12</v>
      </c>
      <c r="U15" s="150">
        <f>T15*B15</f>
        <v>53.400000000000006</v>
      </c>
      <c r="V15" s="163"/>
      <c r="W15" s="151">
        <f>V15*B15</f>
        <v>0</v>
      </c>
      <c r="X15" s="80"/>
      <c r="Y15" s="154">
        <f>X15*B15</f>
        <v>0</v>
      </c>
      <c r="Z15" s="78"/>
      <c r="AA15" s="150">
        <f>Z15*B15</f>
        <v>0</v>
      </c>
      <c r="AB15" s="84"/>
      <c r="AC15" s="154">
        <f>AB15*B15</f>
        <v>0</v>
      </c>
      <c r="AD15" s="78"/>
      <c r="AE15" s="150">
        <f>AD15*B15</f>
        <v>0</v>
      </c>
      <c r="AF15" s="80"/>
      <c r="AG15" s="79">
        <f>AF15*B15</f>
        <v>0</v>
      </c>
      <c r="AH15" s="129"/>
      <c r="AI15" s="81">
        <f>AH15*B15</f>
        <v>0</v>
      </c>
      <c r="AJ15" s="78"/>
      <c r="AK15" s="79">
        <f>AJ15*B15</f>
        <v>0</v>
      </c>
      <c r="AL15" s="80"/>
      <c r="AM15" s="81">
        <f>AL15*B15</f>
        <v>0</v>
      </c>
    </row>
    <row r="16" spans="1:39" s="68" customFormat="1" x14ac:dyDescent="0.3">
      <c r="A16" s="192" t="s">
        <v>224</v>
      </c>
      <c r="B16" s="182">
        <v>3.3</v>
      </c>
      <c r="C16" s="196">
        <f t="shared" si="0"/>
        <v>40</v>
      </c>
      <c r="D16" s="70"/>
      <c r="E16" s="156">
        <f t="shared" si="1"/>
        <v>0</v>
      </c>
      <c r="F16" s="130"/>
      <c r="G16" s="157">
        <f t="shared" si="2"/>
        <v>0</v>
      </c>
      <c r="H16" s="130">
        <v>20</v>
      </c>
      <c r="I16" s="158">
        <f t="shared" si="3"/>
        <v>66</v>
      </c>
      <c r="J16" s="159"/>
      <c r="K16" s="157">
        <f t="shared" si="4"/>
        <v>0</v>
      </c>
      <c r="L16" s="130"/>
      <c r="M16" s="158">
        <f t="shared" si="5"/>
        <v>0</v>
      </c>
      <c r="N16" s="70"/>
      <c r="O16" s="160">
        <f>N16*B16</f>
        <v>0</v>
      </c>
      <c r="P16" s="70">
        <v>20</v>
      </c>
      <c r="Q16" s="156">
        <f>P16*B16</f>
        <v>66</v>
      </c>
      <c r="R16" s="69"/>
      <c r="S16" s="156">
        <f>R16*B16</f>
        <v>0</v>
      </c>
      <c r="T16" s="69"/>
      <c r="U16" s="156">
        <f>T16*B16</f>
        <v>0</v>
      </c>
      <c r="V16" s="164"/>
      <c r="W16" s="157">
        <f>V16*B16</f>
        <v>0</v>
      </c>
      <c r="X16" s="69"/>
      <c r="Y16" s="160">
        <f>X16*B16</f>
        <v>0</v>
      </c>
      <c r="Z16" s="70"/>
      <c r="AA16" s="156">
        <f>Z16*B16</f>
        <v>0</v>
      </c>
      <c r="AB16" s="85"/>
      <c r="AC16" s="160">
        <f>AB16*B16</f>
        <v>0</v>
      </c>
      <c r="AD16" s="70"/>
      <c r="AE16" s="156">
        <f>AD16*B16</f>
        <v>0</v>
      </c>
      <c r="AF16" s="69"/>
      <c r="AG16" s="71">
        <f>AF16*B16</f>
        <v>0</v>
      </c>
      <c r="AH16" s="130"/>
      <c r="AI16" s="72">
        <f>AH16*B16</f>
        <v>0</v>
      </c>
      <c r="AJ16" s="70"/>
      <c r="AK16" s="71">
        <f>AJ16*B16</f>
        <v>0</v>
      </c>
      <c r="AL16" s="69"/>
      <c r="AM16" s="72">
        <f>AL16*B16</f>
        <v>0</v>
      </c>
    </row>
    <row r="17" spans="1:39" x14ac:dyDescent="0.3">
      <c r="A17" s="193" t="s">
        <v>240</v>
      </c>
      <c r="B17" s="181">
        <v>7.9</v>
      </c>
      <c r="C17" s="195">
        <f t="shared" si="0"/>
        <v>0</v>
      </c>
      <c r="D17" s="78"/>
      <c r="E17" s="150">
        <f t="shared" si="1"/>
        <v>0</v>
      </c>
      <c r="F17" s="129"/>
      <c r="G17" s="151">
        <f t="shared" si="2"/>
        <v>0</v>
      </c>
      <c r="H17" s="129"/>
      <c r="I17" s="152">
        <f t="shared" si="3"/>
        <v>0</v>
      </c>
      <c r="J17" s="153"/>
      <c r="K17" s="151">
        <f t="shared" si="4"/>
        <v>0</v>
      </c>
      <c r="L17" s="129"/>
      <c r="M17" s="152">
        <f t="shared" si="5"/>
        <v>0</v>
      </c>
      <c r="N17" s="78"/>
      <c r="O17" s="154">
        <f>N17*B17</f>
        <v>0</v>
      </c>
      <c r="P17" s="78"/>
      <c r="Q17" s="150">
        <f>P17*B17</f>
        <v>0</v>
      </c>
      <c r="R17" s="80"/>
      <c r="S17" s="150">
        <f>R17*B17</f>
        <v>0</v>
      </c>
      <c r="T17" s="80"/>
      <c r="U17" s="150">
        <f>T17*B17</f>
        <v>0</v>
      </c>
      <c r="V17" s="163"/>
      <c r="W17" s="151">
        <f>V17*B17</f>
        <v>0</v>
      </c>
      <c r="X17" s="80"/>
      <c r="Y17" s="154">
        <f>X17*B17</f>
        <v>0</v>
      </c>
      <c r="Z17" s="78"/>
      <c r="AA17" s="150">
        <f>Z17*B17</f>
        <v>0</v>
      </c>
      <c r="AB17" s="84"/>
      <c r="AC17" s="154">
        <f>AB17*B17</f>
        <v>0</v>
      </c>
      <c r="AD17" s="78"/>
      <c r="AE17" s="150">
        <f>AD17*B17</f>
        <v>0</v>
      </c>
      <c r="AF17" s="80"/>
      <c r="AG17" s="79">
        <f>AF17*B17</f>
        <v>0</v>
      </c>
      <c r="AH17" s="129"/>
      <c r="AI17" s="81">
        <f>AH17*B17</f>
        <v>0</v>
      </c>
      <c r="AJ17" s="78"/>
      <c r="AK17" s="79"/>
      <c r="AL17" s="80"/>
      <c r="AM17" s="81">
        <f>AL17*B17</f>
        <v>0</v>
      </c>
    </row>
    <row r="18" spans="1:39" s="68" customFormat="1" x14ac:dyDescent="0.3">
      <c r="A18" s="192" t="s">
        <v>225</v>
      </c>
      <c r="B18" s="182">
        <v>5.64</v>
      </c>
      <c r="C18" s="196">
        <f t="shared" si="0"/>
        <v>12</v>
      </c>
      <c r="D18" s="70"/>
      <c r="E18" s="156">
        <f t="shared" si="1"/>
        <v>0</v>
      </c>
      <c r="F18" s="130"/>
      <c r="G18" s="157">
        <f t="shared" si="2"/>
        <v>0</v>
      </c>
      <c r="H18" s="130"/>
      <c r="I18" s="158">
        <f t="shared" si="3"/>
        <v>0</v>
      </c>
      <c r="J18" s="159"/>
      <c r="K18" s="157">
        <f t="shared" si="4"/>
        <v>0</v>
      </c>
      <c r="L18" s="130"/>
      <c r="M18" s="158">
        <f t="shared" si="5"/>
        <v>0</v>
      </c>
      <c r="N18" s="70">
        <v>6</v>
      </c>
      <c r="O18" s="160">
        <f>N18*B18</f>
        <v>33.839999999999996</v>
      </c>
      <c r="P18" s="70"/>
      <c r="Q18" s="156">
        <f>P18*B18</f>
        <v>0</v>
      </c>
      <c r="R18" s="69"/>
      <c r="S18" s="156">
        <f>R18*B18</f>
        <v>0</v>
      </c>
      <c r="T18" s="69">
        <v>6</v>
      </c>
      <c r="U18" s="156">
        <f>T18*B18</f>
        <v>33.839999999999996</v>
      </c>
      <c r="V18" s="164"/>
      <c r="W18" s="157">
        <f>V18*B18</f>
        <v>0</v>
      </c>
      <c r="X18" s="69"/>
      <c r="Y18" s="160">
        <f>X18*B18</f>
        <v>0</v>
      </c>
      <c r="Z18" s="70"/>
      <c r="AA18" s="156">
        <f>Z18*B18</f>
        <v>0</v>
      </c>
      <c r="AB18" s="85"/>
      <c r="AC18" s="160">
        <f>AB18*B18</f>
        <v>0</v>
      </c>
      <c r="AD18" s="70"/>
      <c r="AE18" s="156">
        <f>AD18*B18</f>
        <v>0</v>
      </c>
      <c r="AF18" s="69"/>
      <c r="AG18" s="71">
        <f>AF18*B18</f>
        <v>0</v>
      </c>
      <c r="AH18" s="130"/>
      <c r="AI18" s="72">
        <f>AH18*B18</f>
        <v>0</v>
      </c>
      <c r="AJ18" s="70"/>
      <c r="AK18" s="71">
        <f>AJ18*B18</f>
        <v>0</v>
      </c>
      <c r="AL18" s="69"/>
      <c r="AM18" s="72">
        <f>AL18*B18</f>
        <v>0</v>
      </c>
    </row>
    <row r="19" spans="1:39" x14ac:dyDescent="0.3">
      <c r="A19" s="193" t="s">
        <v>243</v>
      </c>
      <c r="B19" s="181">
        <v>2.25</v>
      </c>
      <c r="C19" s="195">
        <f t="shared" si="0"/>
        <v>0</v>
      </c>
      <c r="D19" s="78"/>
      <c r="E19" s="150">
        <f t="shared" si="1"/>
        <v>0</v>
      </c>
      <c r="F19" s="129"/>
      <c r="G19" s="151">
        <f t="shared" si="2"/>
        <v>0</v>
      </c>
      <c r="H19" s="129"/>
      <c r="I19" s="152">
        <f t="shared" si="3"/>
        <v>0</v>
      </c>
      <c r="J19" s="153"/>
      <c r="K19" s="151">
        <f t="shared" si="4"/>
        <v>0</v>
      </c>
      <c r="L19" s="129"/>
      <c r="M19" s="152">
        <f t="shared" si="5"/>
        <v>0</v>
      </c>
      <c r="N19" s="78"/>
      <c r="O19" s="154">
        <f>N19*B19</f>
        <v>0</v>
      </c>
      <c r="P19" s="78"/>
      <c r="Q19" s="150">
        <f>P19*B19</f>
        <v>0</v>
      </c>
      <c r="R19" s="80"/>
      <c r="S19" s="150">
        <f>R19*B19</f>
        <v>0</v>
      </c>
      <c r="T19" s="80"/>
      <c r="U19" s="150">
        <f>T19*B19</f>
        <v>0</v>
      </c>
      <c r="V19" s="163"/>
      <c r="W19" s="151">
        <f>V19*B19</f>
        <v>0</v>
      </c>
      <c r="X19" s="80"/>
      <c r="Y19" s="154">
        <f>X19*B19</f>
        <v>0</v>
      </c>
      <c r="Z19" s="78"/>
      <c r="AA19" s="150">
        <f>Z19*B19</f>
        <v>0</v>
      </c>
      <c r="AB19" s="84"/>
      <c r="AC19" s="154">
        <f>AB19*B19</f>
        <v>0</v>
      </c>
      <c r="AD19" s="78"/>
      <c r="AE19" s="150">
        <f>AD19*B19</f>
        <v>0</v>
      </c>
      <c r="AF19" s="80"/>
      <c r="AG19" s="79">
        <f>AF19*B19</f>
        <v>0</v>
      </c>
      <c r="AH19" s="129"/>
      <c r="AI19" s="81">
        <f>AH19*B19</f>
        <v>0</v>
      </c>
      <c r="AJ19" s="78"/>
      <c r="AK19" s="79">
        <f>AJ19*B19</f>
        <v>0</v>
      </c>
      <c r="AL19" s="80"/>
      <c r="AM19" s="81">
        <f>AL19*B19</f>
        <v>0</v>
      </c>
    </row>
    <row r="20" spans="1:39" s="68" customFormat="1" x14ac:dyDescent="0.3">
      <c r="A20" s="192" t="s">
        <v>226</v>
      </c>
      <c r="B20" s="182">
        <v>27.4</v>
      </c>
      <c r="C20" s="196">
        <f t="shared" si="0"/>
        <v>5</v>
      </c>
      <c r="D20" s="70">
        <v>1</v>
      </c>
      <c r="E20" s="156">
        <f t="shared" si="1"/>
        <v>27.4</v>
      </c>
      <c r="F20" s="130"/>
      <c r="G20" s="157">
        <f t="shared" si="2"/>
        <v>0</v>
      </c>
      <c r="H20" s="130">
        <v>2</v>
      </c>
      <c r="I20" s="158">
        <f t="shared" si="3"/>
        <v>54.8</v>
      </c>
      <c r="J20" s="159"/>
      <c r="K20" s="157">
        <f t="shared" si="4"/>
        <v>0</v>
      </c>
      <c r="L20" s="130"/>
      <c r="M20" s="158">
        <f t="shared" si="5"/>
        <v>0</v>
      </c>
      <c r="N20" s="70"/>
      <c r="O20" s="160">
        <f>N20*B20</f>
        <v>0</v>
      </c>
      <c r="P20" s="70">
        <v>2</v>
      </c>
      <c r="Q20" s="156">
        <f>P20*B20</f>
        <v>54.8</v>
      </c>
      <c r="R20" s="69"/>
      <c r="S20" s="156">
        <f>R20*B20</f>
        <v>0</v>
      </c>
      <c r="T20" s="69"/>
      <c r="U20" s="156">
        <f>T20*B20</f>
        <v>0</v>
      </c>
      <c r="V20" s="164"/>
      <c r="W20" s="157">
        <f>V20*B20</f>
        <v>0</v>
      </c>
      <c r="X20" s="69"/>
      <c r="Y20" s="160">
        <f>X20*B20</f>
        <v>0</v>
      </c>
      <c r="Z20" s="70"/>
      <c r="AA20" s="156">
        <f>Z20*B20</f>
        <v>0</v>
      </c>
      <c r="AB20" s="85"/>
      <c r="AC20" s="160">
        <f>AB20*B20</f>
        <v>0</v>
      </c>
      <c r="AD20" s="70"/>
      <c r="AE20" s="156">
        <f>AD20*B20</f>
        <v>0</v>
      </c>
      <c r="AF20" s="69"/>
      <c r="AG20" s="71">
        <f>AF20*B20</f>
        <v>0</v>
      </c>
      <c r="AH20" s="130"/>
      <c r="AI20" s="72">
        <f>AH20*B20</f>
        <v>0</v>
      </c>
      <c r="AJ20" s="70"/>
      <c r="AK20" s="71">
        <f>AJ20*B20</f>
        <v>0</v>
      </c>
      <c r="AL20" s="69"/>
      <c r="AM20" s="72">
        <f>AL20*B20</f>
        <v>0</v>
      </c>
    </row>
    <row r="21" spans="1:39" x14ac:dyDescent="0.3">
      <c r="A21" s="193" t="s">
        <v>254</v>
      </c>
      <c r="B21" s="181">
        <v>32.9</v>
      </c>
      <c r="C21" s="195">
        <f t="shared" si="0"/>
        <v>0</v>
      </c>
      <c r="D21" s="78"/>
      <c r="E21" s="150">
        <f t="shared" si="1"/>
        <v>0</v>
      </c>
      <c r="F21" s="129"/>
      <c r="G21" s="151">
        <f t="shared" si="2"/>
        <v>0</v>
      </c>
      <c r="H21" s="129"/>
      <c r="I21" s="152">
        <f t="shared" si="3"/>
        <v>0</v>
      </c>
      <c r="J21" s="153"/>
      <c r="K21" s="151">
        <f t="shared" si="4"/>
        <v>0</v>
      </c>
      <c r="L21" s="129"/>
      <c r="M21" s="152">
        <f t="shared" si="5"/>
        <v>0</v>
      </c>
      <c r="N21" s="78"/>
      <c r="O21" s="154">
        <f>N21*B21</f>
        <v>0</v>
      </c>
      <c r="P21" s="78"/>
      <c r="Q21" s="150">
        <f>P21*B21</f>
        <v>0</v>
      </c>
      <c r="R21" s="80"/>
      <c r="S21" s="150">
        <f>R21*B21</f>
        <v>0</v>
      </c>
      <c r="T21" s="80"/>
      <c r="U21" s="150">
        <f>T21*B21</f>
        <v>0</v>
      </c>
      <c r="V21" s="163"/>
      <c r="W21" s="151">
        <f>V21*B21</f>
        <v>0</v>
      </c>
      <c r="X21" s="80"/>
      <c r="Y21" s="154">
        <f>X21*B21</f>
        <v>0</v>
      </c>
      <c r="Z21" s="78"/>
      <c r="AA21" s="150"/>
      <c r="AB21" s="84"/>
      <c r="AC21" s="154">
        <f>AB21*B21</f>
        <v>0</v>
      </c>
      <c r="AD21" s="78"/>
      <c r="AE21" s="150">
        <f>AD21*B21</f>
        <v>0</v>
      </c>
      <c r="AF21" s="80"/>
      <c r="AG21" s="79">
        <f>AF21*B21</f>
        <v>0</v>
      </c>
      <c r="AH21" s="129"/>
      <c r="AI21" s="81">
        <f>AH21*B21</f>
        <v>0</v>
      </c>
      <c r="AJ21" s="78"/>
      <c r="AK21" s="79"/>
      <c r="AL21" s="80"/>
      <c r="AM21" s="81">
        <f>AL21*B21</f>
        <v>0</v>
      </c>
    </row>
    <row r="22" spans="1:39" s="68" customFormat="1" x14ac:dyDescent="0.3">
      <c r="A22" s="192" t="s">
        <v>229</v>
      </c>
      <c r="B22" s="182">
        <v>3.2</v>
      </c>
      <c r="C22" s="196">
        <f t="shared" si="0"/>
        <v>12</v>
      </c>
      <c r="D22" s="70">
        <v>12</v>
      </c>
      <c r="E22" s="156">
        <f t="shared" si="1"/>
        <v>38.400000000000006</v>
      </c>
      <c r="F22" s="130"/>
      <c r="G22" s="157">
        <f t="shared" si="2"/>
        <v>0</v>
      </c>
      <c r="H22" s="130"/>
      <c r="I22" s="158">
        <f t="shared" si="3"/>
        <v>0</v>
      </c>
      <c r="J22" s="159"/>
      <c r="K22" s="157">
        <f t="shared" si="4"/>
        <v>0</v>
      </c>
      <c r="L22" s="130"/>
      <c r="M22" s="158">
        <f t="shared" si="5"/>
        <v>0</v>
      </c>
      <c r="N22" s="70"/>
      <c r="O22" s="160">
        <f>N22*B22</f>
        <v>0</v>
      </c>
      <c r="P22" s="70"/>
      <c r="Q22" s="156">
        <f>P22*B22</f>
        <v>0</v>
      </c>
      <c r="R22" s="69"/>
      <c r="S22" s="156">
        <f>R22*B22</f>
        <v>0</v>
      </c>
      <c r="T22" s="69"/>
      <c r="U22" s="156">
        <f>T22*B22</f>
        <v>0</v>
      </c>
      <c r="V22" s="164"/>
      <c r="W22" s="157">
        <f>V22*B22</f>
        <v>0</v>
      </c>
      <c r="X22" s="69"/>
      <c r="Y22" s="160">
        <f>X22*B22</f>
        <v>0</v>
      </c>
      <c r="Z22" s="70"/>
      <c r="AA22" s="156">
        <f>Z22*B22</f>
        <v>0</v>
      </c>
      <c r="AB22" s="85"/>
      <c r="AC22" s="160">
        <f>AB22*B22</f>
        <v>0</v>
      </c>
      <c r="AD22" s="70"/>
      <c r="AE22" s="156">
        <f>AD22*B22</f>
        <v>0</v>
      </c>
      <c r="AF22" s="69"/>
      <c r="AG22" s="71">
        <f>AF22*B22</f>
        <v>0</v>
      </c>
      <c r="AH22" s="130"/>
      <c r="AI22" s="72">
        <f>AH22*B22</f>
        <v>0</v>
      </c>
      <c r="AJ22" s="70"/>
      <c r="AK22" s="71">
        <f>AJ22*B22</f>
        <v>0</v>
      </c>
      <c r="AL22" s="69"/>
      <c r="AM22" s="72">
        <f>AL22*B22</f>
        <v>0</v>
      </c>
    </row>
    <row r="23" spans="1:39" x14ac:dyDescent="0.3">
      <c r="A23" s="193" t="s">
        <v>230</v>
      </c>
      <c r="B23" s="181">
        <v>47.9</v>
      </c>
      <c r="C23" s="195">
        <f t="shared" si="0"/>
        <v>2</v>
      </c>
      <c r="D23" s="78">
        <v>2</v>
      </c>
      <c r="E23" s="150">
        <f t="shared" si="1"/>
        <v>95.8</v>
      </c>
      <c r="F23" s="129"/>
      <c r="G23" s="151">
        <f t="shared" si="2"/>
        <v>0</v>
      </c>
      <c r="H23" s="129"/>
      <c r="I23" s="152">
        <f t="shared" si="3"/>
        <v>0</v>
      </c>
      <c r="J23" s="153"/>
      <c r="K23" s="151">
        <f t="shared" si="4"/>
        <v>0</v>
      </c>
      <c r="L23" s="129"/>
      <c r="M23" s="152">
        <f t="shared" si="5"/>
        <v>0</v>
      </c>
      <c r="N23" s="78"/>
      <c r="O23" s="154">
        <f>N23*B23</f>
        <v>0</v>
      </c>
      <c r="P23" s="78"/>
      <c r="Q23" s="150">
        <f>P23*B23</f>
        <v>0</v>
      </c>
      <c r="R23" s="80"/>
      <c r="S23" s="150">
        <f>R23*B23</f>
        <v>0</v>
      </c>
      <c r="T23" s="80"/>
      <c r="U23" s="150">
        <f>T23*B23</f>
        <v>0</v>
      </c>
      <c r="V23" s="163"/>
      <c r="W23" s="151">
        <f>V23*B23</f>
        <v>0</v>
      </c>
      <c r="X23" s="80"/>
      <c r="Y23" s="154">
        <f>X23*B23</f>
        <v>0</v>
      </c>
      <c r="Z23" s="78"/>
      <c r="AA23" s="150">
        <f>Z23*B23</f>
        <v>0</v>
      </c>
      <c r="AB23" s="84"/>
      <c r="AC23" s="154">
        <f>AB23*B23</f>
        <v>0</v>
      </c>
      <c r="AD23" s="78"/>
      <c r="AE23" s="150">
        <f>AD23*B23</f>
        <v>0</v>
      </c>
      <c r="AF23" s="80"/>
      <c r="AG23" s="79">
        <f>AF23*B23</f>
        <v>0</v>
      </c>
      <c r="AH23" s="129"/>
      <c r="AI23" s="81">
        <f>AH23*B23</f>
        <v>0</v>
      </c>
      <c r="AJ23" s="78"/>
      <c r="AK23" s="79">
        <f>AJ23*B23</f>
        <v>0</v>
      </c>
      <c r="AL23" s="80"/>
      <c r="AM23" s="81">
        <f>AL23*B23</f>
        <v>0</v>
      </c>
    </row>
    <row r="24" spans="1:39" s="68" customFormat="1" x14ac:dyDescent="0.3">
      <c r="A24" s="192" t="s">
        <v>213</v>
      </c>
      <c r="B24" s="182">
        <v>26.5</v>
      </c>
      <c r="C24" s="196">
        <f t="shared" si="0"/>
        <v>3</v>
      </c>
      <c r="D24" s="70"/>
      <c r="E24" s="156">
        <f t="shared" si="1"/>
        <v>0</v>
      </c>
      <c r="F24" s="130"/>
      <c r="G24" s="157">
        <f t="shared" si="2"/>
        <v>0</v>
      </c>
      <c r="H24" s="130"/>
      <c r="I24" s="158">
        <f t="shared" si="3"/>
        <v>0</v>
      </c>
      <c r="J24" s="159"/>
      <c r="K24" s="157">
        <f t="shared" si="4"/>
        <v>0</v>
      </c>
      <c r="L24" s="130"/>
      <c r="M24" s="158">
        <f t="shared" si="5"/>
        <v>0</v>
      </c>
      <c r="N24" s="70">
        <v>1</v>
      </c>
      <c r="O24" s="160">
        <f>N24*B24</f>
        <v>26.5</v>
      </c>
      <c r="P24" s="70"/>
      <c r="Q24" s="156">
        <f>P24*B24</f>
        <v>0</v>
      </c>
      <c r="R24" s="69"/>
      <c r="S24" s="156">
        <f>R24*B24</f>
        <v>0</v>
      </c>
      <c r="T24" s="69">
        <v>2</v>
      </c>
      <c r="U24" s="156">
        <f>T24*B24</f>
        <v>53</v>
      </c>
      <c r="V24" s="164"/>
      <c r="W24" s="157">
        <f>V24*B24</f>
        <v>0</v>
      </c>
      <c r="X24" s="69"/>
      <c r="Y24" s="160">
        <f>X24*B24</f>
        <v>0</v>
      </c>
      <c r="Z24" s="70"/>
      <c r="AA24" s="156">
        <f>Z24*B24</f>
        <v>0</v>
      </c>
      <c r="AB24" s="85"/>
      <c r="AC24" s="160">
        <f>AB24*B24</f>
        <v>0</v>
      </c>
      <c r="AD24" s="70"/>
      <c r="AE24" s="156">
        <f>AD24*B24</f>
        <v>0</v>
      </c>
      <c r="AF24" s="69"/>
      <c r="AG24" s="71">
        <f>AF24*B24</f>
        <v>0</v>
      </c>
      <c r="AH24" s="130"/>
      <c r="AI24" s="72">
        <f>AH24*B24</f>
        <v>0</v>
      </c>
      <c r="AJ24" s="70"/>
      <c r="AK24" s="71">
        <f>AJ24*B24</f>
        <v>0</v>
      </c>
      <c r="AL24" s="69"/>
      <c r="AM24" s="72">
        <f>AL24*B24</f>
        <v>0</v>
      </c>
    </row>
    <row r="25" spans="1:39" s="68" customFormat="1" x14ac:dyDescent="0.3">
      <c r="A25" s="191" t="s">
        <v>219</v>
      </c>
      <c r="B25" s="182">
        <v>1.92</v>
      </c>
      <c r="C25" s="196">
        <f t="shared" si="0"/>
        <v>3</v>
      </c>
      <c r="D25" s="70"/>
      <c r="E25" s="156">
        <f t="shared" si="1"/>
        <v>0</v>
      </c>
      <c r="F25" s="130"/>
      <c r="G25" s="157">
        <f t="shared" si="2"/>
        <v>0</v>
      </c>
      <c r="H25" s="130"/>
      <c r="I25" s="158">
        <f t="shared" si="3"/>
        <v>0</v>
      </c>
      <c r="J25" s="159"/>
      <c r="K25" s="157">
        <f t="shared" si="4"/>
        <v>0</v>
      </c>
      <c r="L25" s="130"/>
      <c r="M25" s="158">
        <f t="shared" si="5"/>
        <v>0</v>
      </c>
      <c r="N25" s="70">
        <f>N24</f>
        <v>1</v>
      </c>
      <c r="O25" s="160">
        <f>N25*B25</f>
        <v>1.92</v>
      </c>
      <c r="P25" s="70"/>
      <c r="Q25" s="156">
        <f>P25*B25</f>
        <v>0</v>
      </c>
      <c r="R25" s="69"/>
      <c r="S25" s="156">
        <f>R25*B25</f>
        <v>0</v>
      </c>
      <c r="T25" s="69">
        <v>2</v>
      </c>
      <c r="U25" s="156">
        <f>T25*B25</f>
        <v>3.84</v>
      </c>
      <c r="V25" s="164"/>
      <c r="W25" s="157">
        <f>V25*B25</f>
        <v>0</v>
      </c>
      <c r="X25" s="69"/>
      <c r="Y25" s="160">
        <f>X25*B25</f>
        <v>0</v>
      </c>
      <c r="Z25" s="70"/>
      <c r="AA25" s="156">
        <f>Z25*B25</f>
        <v>0</v>
      </c>
      <c r="AB25" s="85"/>
      <c r="AC25" s="160">
        <f>AB25*B25</f>
        <v>0</v>
      </c>
      <c r="AD25" s="70"/>
      <c r="AE25" s="156">
        <f>AD25*B25</f>
        <v>0</v>
      </c>
      <c r="AF25" s="69"/>
      <c r="AG25" s="71">
        <f>AF25*B25</f>
        <v>0</v>
      </c>
      <c r="AH25" s="130"/>
      <c r="AI25" s="72">
        <f>AH25*B25</f>
        <v>0</v>
      </c>
      <c r="AJ25" s="70"/>
      <c r="AK25" s="71">
        <f>AJ25*B25</f>
        <v>0</v>
      </c>
      <c r="AL25" s="69"/>
      <c r="AM25" s="72">
        <f>AL25*B25</f>
        <v>0</v>
      </c>
    </row>
    <row r="26" spans="1:39" x14ac:dyDescent="0.3">
      <c r="A26" s="193" t="s">
        <v>255</v>
      </c>
      <c r="B26" s="181">
        <v>25.9</v>
      </c>
      <c r="C26" s="195">
        <f t="shared" si="0"/>
        <v>0</v>
      </c>
      <c r="D26" s="78"/>
      <c r="E26" s="150">
        <f t="shared" si="1"/>
        <v>0</v>
      </c>
      <c r="F26" s="129"/>
      <c r="G26" s="151">
        <f t="shared" si="2"/>
        <v>0</v>
      </c>
      <c r="H26" s="129"/>
      <c r="I26" s="152">
        <f t="shared" si="3"/>
        <v>0</v>
      </c>
      <c r="J26" s="153"/>
      <c r="K26" s="151">
        <f t="shared" si="4"/>
        <v>0</v>
      </c>
      <c r="L26" s="129"/>
      <c r="M26" s="152">
        <f t="shared" si="5"/>
        <v>0</v>
      </c>
      <c r="N26" s="78"/>
      <c r="O26" s="154">
        <f>N26*B26</f>
        <v>0</v>
      </c>
      <c r="P26" s="78"/>
      <c r="Q26" s="150">
        <f>P26*B26</f>
        <v>0</v>
      </c>
      <c r="R26" s="80"/>
      <c r="S26" s="150">
        <f>R26*B26</f>
        <v>0</v>
      </c>
      <c r="T26" s="80"/>
      <c r="U26" s="150">
        <f>T26*B26</f>
        <v>0</v>
      </c>
      <c r="V26" s="163"/>
      <c r="W26" s="151">
        <f>V26*B26</f>
        <v>0</v>
      </c>
      <c r="X26" s="80"/>
      <c r="Y26" s="154">
        <f>X26*B26</f>
        <v>0</v>
      </c>
      <c r="Z26" s="78"/>
      <c r="AA26" s="150">
        <f>Z26*B26</f>
        <v>0</v>
      </c>
      <c r="AB26" s="84"/>
      <c r="AC26" s="154">
        <f>AB26*B26</f>
        <v>0</v>
      </c>
      <c r="AD26" s="78"/>
      <c r="AE26" s="150">
        <f>AD26*B26</f>
        <v>0</v>
      </c>
      <c r="AF26" s="80"/>
      <c r="AG26" s="79">
        <f>AF26*B26</f>
        <v>0</v>
      </c>
      <c r="AH26" s="129"/>
      <c r="AI26" s="81">
        <f>AH26*B26</f>
        <v>0</v>
      </c>
      <c r="AJ26" s="78"/>
      <c r="AK26" s="79">
        <f>AJ26*B26</f>
        <v>0</v>
      </c>
      <c r="AL26" s="80"/>
      <c r="AM26" s="81">
        <f>AL26*B26</f>
        <v>0</v>
      </c>
    </row>
    <row r="27" spans="1:39" x14ac:dyDescent="0.3">
      <c r="A27" s="190" t="s">
        <v>219</v>
      </c>
      <c r="B27" s="181">
        <v>2.74</v>
      </c>
      <c r="C27" s="195">
        <f t="shared" si="0"/>
        <v>0</v>
      </c>
      <c r="D27" s="78"/>
      <c r="E27" s="150">
        <f t="shared" si="1"/>
        <v>0</v>
      </c>
      <c r="F27" s="129"/>
      <c r="G27" s="151">
        <f t="shared" si="2"/>
        <v>0</v>
      </c>
      <c r="H27" s="129"/>
      <c r="I27" s="152">
        <f t="shared" si="3"/>
        <v>0</v>
      </c>
      <c r="J27" s="153"/>
      <c r="K27" s="151">
        <f t="shared" si="4"/>
        <v>0</v>
      </c>
      <c r="L27" s="129"/>
      <c r="M27" s="152">
        <f t="shared" si="5"/>
        <v>0</v>
      </c>
      <c r="N27" s="78"/>
      <c r="O27" s="154">
        <f>N27*B27</f>
        <v>0</v>
      </c>
      <c r="P27" s="78"/>
      <c r="Q27" s="150">
        <f>P27*B27</f>
        <v>0</v>
      </c>
      <c r="R27" s="80"/>
      <c r="S27" s="150">
        <f>R27*B27</f>
        <v>0</v>
      </c>
      <c r="T27" s="80"/>
      <c r="U27" s="150">
        <f>T27*B27</f>
        <v>0</v>
      </c>
      <c r="V27" s="163"/>
      <c r="W27" s="151">
        <f>V27*B27</f>
        <v>0</v>
      </c>
      <c r="X27" s="80"/>
      <c r="Y27" s="154">
        <f>X27*B27</f>
        <v>0</v>
      </c>
      <c r="Z27" s="78"/>
      <c r="AA27" s="150">
        <f>Z27*B27</f>
        <v>0</v>
      </c>
      <c r="AB27" s="84"/>
      <c r="AC27" s="154">
        <f>AB27*B27</f>
        <v>0</v>
      </c>
      <c r="AD27" s="78"/>
      <c r="AE27" s="150">
        <f>AD27*B27</f>
        <v>0</v>
      </c>
      <c r="AF27" s="80"/>
      <c r="AG27" s="79">
        <f>AF27*B27</f>
        <v>0</v>
      </c>
      <c r="AH27" s="129"/>
      <c r="AI27" s="81">
        <f>AH27*B27</f>
        <v>0</v>
      </c>
      <c r="AJ27" s="78"/>
      <c r="AK27" s="79">
        <f>AJ27*B27</f>
        <v>0</v>
      </c>
      <c r="AL27" s="80"/>
      <c r="AM27" s="81">
        <f>AL27*B27</f>
        <v>0</v>
      </c>
    </row>
    <row r="28" spans="1:39" s="68" customFormat="1" x14ac:dyDescent="0.3">
      <c r="A28" s="191" t="s">
        <v>258</v>
      </c>
      <c r="B28" s="182">
        <v>36.4</v>
      </c>
      <c r="C28" s="196">
        <f t="shared" si="0"/>
        <v>0</v>
      </c>
      <c r="D28" s="70"/>
      <c r="E28" s="156">
        <f t="shared" si="1"/>
        <v>0</v>
      </c>
      <c r="F28" s="130"/>
      <c r="G28" s="157">
        <f t="shared" si="2"/>
        <v>0</v>
      </c>
      <c r="H28" s="130"/>
      <c r="I28" s="158">
        <f t="shared" si="3"/>
        <v>0</v>
      </c>
      <c r="J28" s="159"/>
      <c r="K28" s="157">
        <f t="shared" si="4"/>
        <v>0</v>
      </c>
      <c r="L28" s="130"/>
      <c r="M28" s="158">
        <f t="shared" si="5"/>
        <v>0</v>
      </c>
      <c r="N28" s="70"/>
      <c r="O28" s="160">
        <f>N28*B28</f>
        <v>0</v>
      </c>
      <c r="P28" s="70"/>
      <c r="Q28" s="156">
        <f>P28*B28</f>
        <v>0</v>
      </c>
      <c r="R28" s="69"/>
      <c r="S28" s="156">
        <f>R28*B28</f>
        <v>0</v>
      </c>
      <c r="T28" s="69"/>
      <c r="U28" s="156">
        <f>T28*B28</f>
        <v>0</v>
      </c>
      <c r="V28" s="164"/>
      <c r="W28" s="157">
        <f>V28*B28</f>
        <v>0</v>
      </c>
      <c r="X28" s="69"/>
      <c r="Y28" s="160">
        <f>X28*B28</f>
        <v>0</v>
      </c>
      <c r="Z28" s="70"/>
      <c r="AA28" s="156">
        <f>Z28*B28</f>
        <v>0</v>
      </c>
      <c r="AB28" s="85"/>
      <c r="AC28" s="160">
        <f>AB28*B28</f>
        <v>0</v>
      </c>
      <c r="AD28" s="70"/>
      <c r="AE28" s="156">
        <f>AD28*B28</f>
        <v>0</v>
      </c>
      <c r="AF28" s="69"/>
      <c r="AG28" s="71">
        <f>AF28*B28</f>
        <v>0</v>
      </c>
      <c r="AH28" s="130"/>
      <c r="AI28" s="72">
        <f>AH28*B28</f>
        <v>0</v>
      </c>
      <c r="AJ28" s="70"/>
      <c r="AK28" s="71">
        <f>AJ28*B28</f>
        <v>0</v>
      </c>
      <c r="AL28" s="69"/>
      <c r="AM28" s="72">
        <f>AL28*B28</f>
        <v>0</v>
      </c>
    </row>
    <row r="29" spans="1:39" s="68" customFormat="1" x14ac:dyDescent="0.3">
      <c r="A29" s="191" t="s">
        <v>219</v>
      </c>
      <c r="B29" s="182">
        <v>2.2799999999999998</v>
      </c>
      <c r="C29" s="196">
        <f t="shared" si="0"/>
        <v>0</v>
      </c>
      <c r="D29" s="70"/>
      <c r="E29" s="156">
        <f t="shared" si="1"/>
        <v>0</v>
      </c>
      <c r="F29" s="130"/>
      <c r="G29" s="157">
        <f t="shared" si="2"/>
        <v>0</v>
      </c>
      <c r="H29" s="130"/>
      <c r="I29" s="158">
        <f t="shared" si="3"/>
        <v>0</v>
      </c>
      <c r="J29" s="159"/>
      <c r="K29" s="157">
        <f t="shared" si="4"/>
        <v>0</v>
      </c>
      <c r="L29" s="130"/>
      <c r="M29" s="158">
        <f t="shared" si="5"/>
        <v>0</v>
      </c>
      <c r="N29" s="70"/>
      <c r="O29" s="160">
        <f>N29*B29</f>
        <v>0</v>
      </c>
      <c r="P29" s="70"/>
      <c r="Q29" s="156">
        <f>P29*B29</f>
        <v>0</v>
      </c>
      <c r="R29" s="69"/>
      <c r="S29" s="156">
        <f>R29*B29</f>
        <v>0</v>
      </c>
      <c r="T29" s="69"/>
      <c r="U29" s="156">
        <f>T29*B29</f>
        <v>0</v>
      </c>
      <c r="V29" s="164"/>
      <c r="W29" s="157">
        <f>V29*B29</f>
        <v>0</v>
      </c>
      <c r="X29" s="69"/>
      <c r="Y29" s="160">
        <f>X29*B29</f>
        <v>0</v>
      </c>
      <c r="Z29" s="70"/>
      <c r="AA29" s="156">
        <f>Z29*B29</f>
        <v>0</v>
      </c>
      <c r="AB29" s="85"/>
      <c r="AC29" s="160">
        <f>AB29*B29</f>
        <v>0</v>
      </c>
      <c r="AD29" s="70"/>
      <c r="AE29" s="156">
        <f>AD29*B29</f>
        <v>0</v>
      </c>
      <c r="AF29" s="69"/>
      <c r="AG29" s="71">
        <f>AF29*B29</f>
        <v>0</v>
      </c>
      <c r="AH29" s="130"/>
      <c r="AI29" s="72">
        <f>AH29*B29</f>
        <v>0</v>
      </c>
      <c r="AJ29" s="70"/>
      <c r="AK29" s="71">
        <f>AJ29*B29</f>
        <v>0</v>
      </c>
      <c r="AL29" s="69"/>
      <c r="AM29" s="72">
        <f>AL29*B29</f>
        <v>0</v>
      </c>
    </row>
    <row r="30" spans="1:39" x14ac:dyDescent="0.3">
      <c r="A30" s="193" t="s">
        <v>221</v>
      </c>
      <c r="B30" s="181">
        <v>16.8</v>
      </c>
      <c r="C30" s="195">
        <f t="shared" si="0"/>
        <v>1</v>
      </c>
      <c r="D30" s="78"/>
      <c r="E30" s="150">
        <f t="shared" si="1"/>
        <v>0</v>
      </c>
      <c r="F30" s="129"/>
      <c r="G30" s="151">
        <f t="shared" si="2"/>
        <v>0</v>
      </c>
      <c r="H30" s="129"/>
      <c r="I30" s="152">
        <f t="shared" si="3"/>
        <v>0</v>
      </c>
      <c r="J30" s="153"/>
      <c r="K30" s="151">
        <f t="shared" si="4"/>
        <v>0</v>
      </c>
      <c r="L30" s="129"/>
      <c r="M30" s="152">
        <f t="shared" si="5"/>
        <v>0</v>
      </c>
      <c r="N30" s="78">
        <v>1</v>
      </c>
      <c r="O30" s="154">
        <f>N30*B30</f>
        <v>16.8</v>
      </c>
      <c r="P30" s="78"/>
      <c r="Q30" s="150">
        <f>P30*B30</f>
        <v>0</v>
      </c>
      <c r="R30" s="80"/>
      <c r="S30" s="150">
        <f>R30*B30</f>
        <v>0</v>
      </c>
      <c r="T30" s="80"/>
      <c r="U30" s="150">
        <f>T30*B30</f>
        <v>0</v>
      </c>
      <c r="V30" s="163"/>
      <c r="W30" s="151">
        <f>V30*B30</f>
        <v>0</v>
      </c>
      <c r="X30" s="80"/>
      <c r="Y30" s="154">
        <f>X30*B30</f>
        <v>0</v>
      </c>
      <c r="Z30" s="78"/>
      <c r="AA30" s="150">
        <f>Z30*B30</f>
        <v>0</v>
      </c>
      <c r="AB30" s="84"/>
      <c r="AC30" s="154">
        <f>AB30*B30</f>
        <v>0</v>
      </c>
      <c r="AD30" s="78"/>
      <c r="AE30" s="150">
        <f>AD30*B30</f>
        <v>0</v>
      </c>
      <c r="AF30" s="80"/>
      <c r="AG30" s="79">
        <f>AF30*B30</f>
        <v>0</v>
      </c>
      <c r="AH30" s="129"/>
      <c r="AI30" s="81">
        <f>AH30*B30</f>
        <v>0</v>
      </c>
      <c r="AJ30" s="78"/>
      <c r="AK30" s="79">
        <f>AJ30*B30</f>
        <v>0</v>
      </c>
      <c r="AL30" s="80"/>
      <c r="AM30" s="81">
        <f>AL30*B30</f>
        <v>0</v>
      </c>
    </row>
    <row r="31" spans="1:39" s="68" customFormat="1" x14ac:dyDescent="0.3">
      <c r="A31" s="192" t="s">
        <v>222</v>
      </c>
      <c r="B31" s="182">
        <v>5.5</v>
      </c>
      <c r="C31" s="196">
        <f t="shared" si="0"/>
        <v>18</v>
      </c>
      <c r="D31" s="70"/>
      <c r="E31" s="156">
        <f t="shared" si="1"/>
        <v>0</v>
      </c>
      <c r="F31" s="130"/>
      <c r="G31" s="157">
        <f t="shared" si="2"/>
        <v>0</v>
      </c>
      <c r="H31" s="130">
        <v>6</v>
      </c>
      <c r="I31" s="158">
        <f t="shared" si="3"/>
        <v>33</v>
      </c>
      <c r="J31" s="159"/>
      <c r="K31" s="157">
        <f t="shared" si="4"/>
        <v>0</v>
      </c>
      <c r="L31" s="130"/>
      <c r="M31" s="158">
        <f t="shared" si="5"/>
        <v>0</v>
      </c>
      <c r="N31" s="70">
        <v>12</v>
      </c>
      <c r="O31" s="160">
        <f>N31*B31</f>
        <v>66</v>
      </c>
      <c r="P31" s="70"/>
      <c r="Q31" s="156">
        <f>P31*B31</f>
        <v>0</v>
      </c>
      <c r="R31" s="69"/>
      <c r="S31" s="156">
        <f>R31*B31</f>
        <v>0</v>
      </c>
      <c r="T31" s="69"/>
      <c r="U31" s="156">
        <f>T31*B31</f>
        <v>0</v>
      </c>
      <c r="V31" s="164"/>
      <c r="W31" s="157">
        <f>V31*B31</f>
        <v>0</v>
      </c>
      <c r="X31" s="69"/>
      <c r="Y31" s="160">
        <f>X31*B31</f>
        <v>0</v>
      </c>
      <c r="Z31" s="70"/>
      <c r="AA31" s="156">
        <f>Z31*B31</f>
        <v>0</v>
      </c>
      <c r="AB31" s="85"/>
      <c r="AC31" s="160">
        <f>AB31*B31</f>
        <v>0</v>
      </c>
      <c r="AD31" s="70"/>
      <c r="AE31" s="156">
        <f>AD31*B31</f>
        <v>0</v>
      </c>
      <c r="AF31" s="69"/>
      <c r="AG31" s="71">
        <f>AF31*B31</f>
        <v>0</v>
      </c>
      <c r="AH31" s="130"/>
      <c r="AI31" s="72">
        <f>AH31*B31</f>
        <v>0</v>
      </c>
      <c r="AJ31" s="70"/>
      <c r="AK31" s="71">
        <f>AJ31*B31</f>
        <v>0</v>
      </c>
      <c r="AL31" s="69"/>
      <c r="AM31" s="72">
        <f>AL31*B31</f>
        <v>0</v>
      </c>
    </row>
    <row r="32" spans="1:39" x14ac:dyDescent="0.3">
      <c r="A32" s="193" t="s">
        <v>247</v>
      </c>
      <c r="B32" s="181">
        <v>5.5</v>
      </c>
      <c r="C32" s="195">
        <f t="shared" si="0"/>
        <v>0</v>
      </c>
      <c r="D32" s="78"/>
      <c r="E32" s="150">
        <f t="shared" si="1"/>
        <v>0</v>
      </c>
      <c r="F32" s="129"/>
      <c r="G32" s="151">
        <f t="shared" si="2"/>
        <v>0</v>
      </c>
      <c r="H32" s="129"/>
      <c r="I32" s="152">
        <f t="shared" si="3"/>
        <v>0</v>
      </c>
      <c r="J32" s="153"/>
      <c r="K32" s="151">
        <f t="shared" si="4"/>
        <v>0</v>
      </c>
      <c r="L32" s="129"/>
      <c r="M32" s="152">
        <f t="shared" si="5"/>
        <v>0</v>
      </c>
      <c r="N32" s="78"/>
      <c r="O32" s="154">
        <f>N32*B32</f>
        <v>0</v>
      </c>
      <c r="P32" s="78"/>
      <c r="Q32" s="150">
        <f>P32*B32</f>
        <v>0</v>
      </c>
      <c r="R32" s="80"/>
      <c r="S32" s="150">
        <f>R32*B32</f>
        <v>0</v>
      </c>
      <c r="T32" s="80"/>
      <c r="U32" s="150">
        <f>T32*B32</f>
        <v>0</v>
      </c>
      <c r="V32" s="163"/>
      <c r="W32" s="151">
        <f>V32*B32</f>
        <v>0</v>
      </c>
      <c r="X32" s="80"/>
      <c r="Y32" s="154">
        <f>X32*B32</f>
        <v>0</v>
      </c>
      <c r="Z32" s="78"/>
      <c r="AA32" s="150">
        <f>Z32*B32</f>
        <v>0</v>
      </c>
      <c r="AB32" s="84"/>
      <c r="AC32" s="154">
        <f>AB32*B32</f>
        <v>0</v>
      </c>
      <c r="AD32" s="78"/>
      <c r="AE32" s="150">
        <f>AD32*B32</f>
        <v>0</v>
      </c>
      <c r="AF32" s="80"/>
      <c r="AG32" s="79">
        <f>AF32*B32</f>
        <v>0</v>
      </c>
      <c r="AH32" s="129"/>
      <c r="AI32" s="81">
        <f>AH32*B32</f>
        <v>0</v>
      </c>
      <c r="AJ32" s="78"/>
      <c r="AK32" s="79">
        <f>AJ32*B32</f>
        <v>0</v>
      </c>
      <c r="AL32" s="80"/>
      <c r="AM32" s="81">
        <f>AL32*B32</f>
        <v>0</v>
      </c>
    </row>
    <row r="33" spans="1:39" s="68" customFormat="1" x14ac:dyDescent="0.3">
      <c r="A33" s="192" t="s">
        <v>248</v>
      </c>
      <c r="B33" s="182">
        <v>7.5</v>
      </c>
      <c r="C33" s="196">
        <f t="shared" si="0"/>
        <v>0</v>
      </c>
      <c r="D33" s="70"/>
      <c r="E33" s="156">
        <f t="shared" si="1"/>
        <v>0</v>
      </c>
      <c r="F33" s="130"/>
      <c r="G33" s="157">
        <f t="shared" si="2"/>
        <v>0</v>
      </c>
      <c r="H33" s="130"/>
      <c r="I33" s="158">
        <f t="shared" si="3"/>
        <v>0</v>
      </c>
      <c r="J33" s="159"/>
      <c r="K33" s="157">
        <f t="shared" si="4"/>
        <v>0</v>
      </c>
      <c r="L33" s="130"/>
      <c r="M33" s="158">
        <f t="shared" si="5"/>
        <v>0</v>
      </c>
      <c r="N33" s="70"/>
      <c r="O33" s="160">
        <f>N33*B33</f>
        <v>0</v>
      </c>
      <c r="P33" s="70"/>
      <c r="Q33" s="156">
        <f>P33*B33</f>
        <v>0</v>
      </c>
      <c r="R33" s="69"/>
      <c r="S33" s="156">
        <f>R33*B33</f>
        <v>0</v>
      </c>
      <c r="T33" s="69"/>
      <c r="U33" s="156">
        <f>T33*B33</f>
        <v>0</v>
      </c>
      <c r="V33" s="164"/>
      <c r="W33" s="157">
        <f>V33*B33</f>
        <v>0</v>
      </c>
      <c r="X33" s="69"/>
      <c r="Y33" s="160">
        <f>X33*B33</f>
        <v>0</v>
      </c>
      <c r="Z33" s="70"/>
      <c r="AA33" s="156"/>
      <c r="AB33" s="86"/>
      <c r="AC33" s="160">
        <f>AB33*B33</f>
        <v>0</v>
      </c>
      <c r="AD33" s="70"/>
      <c r="AE33" s="156">
        <f>AD33*B33</f>
        <v>0</v>
      </c>
      <c r="AF33" s="69"/>
      <c r="AG33" s="71">
        <f>AF33*B33</f>
        <v>0</v>
      </c>
      <c r="AH33" s="130"/>
      <c r="AI33" s="72">
        <f>AH33*B33</f>
        <v>0</v>
      </c>
      <c r="AJ33" s="70"/>
      <c r="AK33" s="71">
        <f>AJ33*B33</f>
        <v>0</v>
      </c>
      <c r="AL33" s="69"/>
      <c r="AM33" s="72">
        <f>AL33*B33</f>
        <v>0</v>
      </c>
    </row>
    <row r="34" spans="1:39" x14ac:dyDescent="0.3">
      <c r="A34" s="193" t="s">
        <v>236</v>
      </c>
      <c r="B34" s="181">
        <v>0.8</v>
      </c>
      <c r="C34" s="195">
        <f t="shared" si="0"/>
        <v>0</v>
      </c>
      <c r="D34" s="96"/>
      <c r="E34" s="165">
        <f t="shared" si="1"/>
        <v>0</v>
      </c>
      <c r="F34" s="129"/>
      <c r="G34" s="151">
        <f t="shared" si="2"/>
        <v>0</v>
      </c>
      <c r="H34" s="129"/>
      <c r="I34" s="152">
        <f t="shared" si="3"/>
        <v>0</v>
      </c>
      <c r="J34" s="153"/>
      <c r="K34" s="151">
        <f t="shared" si="4"/>
        <v>0</v>
      </c>
      <c r="L34" s="129"/>
      <c r="M34" s="152">
        <f t="shared" si="5"/>
        <v>0</v>
      </c>
      <c r="N34" s="96"/>
      <c r="O34" s="166">
        <f>N34*B34</f>
        <v>0</v>
      </c>
      <c r="P34" s="96"/>
      <c r="Q34" s="165">
        <f>P34*B34</f>
        <v>0</v>
      </c>
      <c r="R34" s="98"/>
      <c r="S34" s="165">
        <f>R34*B34</f>
        <v>0</v>
      </c>
      <c r="T34" s="98"/>
      <c r="U34" s="165">
        <f>T34*B34</f>
        <v>0</v>
      </c>
      <c r="V34" s="167"/>
      <c r="W34" s="154">
        <f>V34*B34</f>
        <v>0</v>
      </c>
      <c r="X34" s="98"/>
      <c r="Y34" s="166">
        <f>X34*B34</f>
        <v>0</v>
      </c>
      <c r="Z34" s="96"/>
      <c r="AA34" s="165">
        <f>Z34*B34</f>
        <v>0</v>
      </c>
      <c r="AB34" s="104"/>
      <c r="AC34" s="166">
        <f>AB34*B34</f>
        <v>0</v>
      </c>
      <c r="AD34" s="96"/>
      <c r="AE34" s="165">
        <f>AD34*B34</f>
        <v>0</v>
      </c>
      <c r="AF34" s="98"/>
      <c r="AG34" s="97">
        <f>AF34*B34</f>
        <v>0</v>
      </c>
      <c r="AH34" s="131"/>
      <c r="AI34" s="99">
        <f>AH34*B34</f>
        <v>0</v>
      </c>
      <c r="AJ34" s="96"/>
      <c r="AK34" s="97">
        <f>AJ34*B34</f>
        <v>0</v>
      </c>
      <c r="AL34" s="98"/>
      <c r="AM34" s="99">
        <f>AL34*B34</f>
        <v>0</v>
      </c>
    </row>
    <row r="35" spans="1:39" s="68" customFormat="1" ht="15" thickBot="1" x14ac:dyDescent="0.35">
      <c r="A35" s="194" t="s">
        <v>259</v>
      </c>
      <c r="B35" s="183"/>
      <c r="C35" s="197">
        <f t="shared" si="0"/>
        <v>0</v>
      </c>
      <c r="D35" s="75"/>
      <c r="E35" s="168">
        <f t="shared" si="1"/>
        <v>0</v>
      </c>
      <c r="F35" s="132"/>
      <c r="G35" s="169">
        <f t="shared" si="2"/>
        <v>0</v>
      </c>
      <c r="H35" s="132"/>
      <c r="I35" s="170">
        <v>38.4</v>
      </c>
      <c r="J35" s="171"/>
      <c r="K35" s="169">
        <f t="shared" si="4"/>
        <v>0</v>
      </c>
      <c r="L35" s="132"/>
      <c r="M35" s="170">
        <f t="shared" si="5"/>
        <v>0</v>
      </c>
      <c r="N35" s="75"/>
      <c r="O35" s="172"/>
      <c r="P35" s="75"/>
      <c r="Q35" s="168">
        <f>P35*B35</f>
        <v>0</v>
      </c>
      <c r="R35" s="73"/>
      <c r="S35" s="168"/>
      <c r="T35" s="73"/>
      <c r="U35" s="168">
        <f>T35*B35</f>
        <v>0</v>
      </c>
      <c r="V35" s="173"/>
      <c r="W35" s="169">
        <f>V35*B35</f>
        <v>0</v>
      </c>
      <c r="X35" s="73"/>
      <c r="Y35" s="172"/>
      <c r="Z35" s="75"/>
      <c r="AA35" s="168"/>
      <c r="AB35" s="105"/>
      <c r="AC35" s="172">
        <f>AB35*B35</f>
        <v>0</v>
      </c>
      <c r="AD35" s="75"/>
      <c r="AE35" s="168">
        <f>AD35*B35</f>
        <v>0</v>
      </c>
      <c r="AF35" s="73"/>
      <c r="AG35" s="74">
        <f>AF35*B35</f>
        <v>0</v>
      </c>
      <c r="AH35" s="132"/>
      <c r="AI35" s="76">
        <f>AH35*B35</f>
        <v>0</v>
      </c>
      <c r="AJ35" s="75"/>
      <c r="AK35" s="74">
        <f>AJ35*B35</f>
        <v>0</v>
      </c>
      <c r="AL35" s="73"/>
      <c r="AM35" s="76">
        <f>AL35*B35</f>
        <v>0</v>
      </c>
    </row>
    <row r="36" spans="1:39" x14ac:dyDescent="0.3">
      <c r="D36" s="93"/>
      <c r="E36" s="92">
        <f>SUM(E4:E35)</f>
        <v>821.62627499999985</v>
      </c>
      <c r="F36" s="135"/>
      <c r="G36" s="92"/>
      <c r="H36" s="135"/>
      <c r="I36" s="92">
        <f>SUM(I4:I35)</f>
        <v>480.645938</v>
      </c>
      <c r="J36" s="135"/>
      <c r="K36" s="92">
        <f>SUM(K4:K35)</f>
        <v>506.51498799999996</v>
      </c>
      <c r="L36" s="135"/>
      <c r="M36" s="92">
        <f>SUM(M4:M35)</f>
        <v>249.28621500000003</v>
      </c>
      <c r="N36" s="93"/>
      <c r="O36" s="92">
        <f>SUM(O4:O35)</f>
        <v>145.06</v>
      </c>
      <c r="P36" s="93"/>
      <c r="Q36" s="92">
        <f>SUM(Q4:Q35)</f>
        <v>1365.2538500000001</v>
      </c>
      <c r="R36" s="93"/>
      <c r="S36" s="92">
        <f>SUM(S4:S35)</f>
        <v>210.1</v>
      </c>
      <c r="T36" s="93"/>
      <c r="U36" s="92">
        <f>SUM(U4:U35)</f>
        <v>1152.3883214999998</v>
      </c>
      <c r="V36" s="92"/>
      <c r="W36" s="92">
        <f>SUM(W4:W35)</f>
        <v>0</v>
      </c>
      <c r="X36" s="92"/>
      <c r="Y36" s="92">
        <f>SUM(Y4:Y35)</f>
        <v>0</v>
      </c>
      <c r="Z36" s="93"/>
      <c r="AA36" s="92">
        <f>SUM(AA4:AA35)</f>
        <v>0</v>
      </c>
      <c r="AB36" s="92"/>
      <c r="AC36" s="92">
        <f>SUM(AC4:AC35)</f>
        <v>0</v>
      </c>
      <c r="AD36" s="93"/>
      <c r="AE36" s="92">
        <f>SUM(AE4:AE35)</f>
        <v>0</v>
      </c>
      <c r="AF36" s="92"/>
      <c r="AG36" s="92">
        <f>SUM(AG4:AG35)</f>
        <v>0</v>
      </c>
      <c r="AH36" s="92"/>
      <c r="AI36" s="92">
        <f>SUM(AI4:AI35)</f>
        <v>0</v>
      </c>
      <c r="AJ36" s="93"/>
      <c r="AK36" s="92">
        <f>SUM(AK4:AK35)</f>
        <v>0</v>
      </c>
      <c r="AL36" s="93"/>
      <c r="AM36" s="92">
        <f>SUM(AM4:AM35)</f>
        <v>0</v>
      </c>
    </row>
    <row r="37" spans="1:39" x14ac:dyDescent="0.3">
      <c r="B37" s="64"/>
      <c r="C37" s="200"/>
      <c r="D37" s="93"/>
      <c r="E37" s="93">
        <v>15.21</v>
      </c>
      <c r="F37" s="136"/>
      <c r="G37" s="93"/>
      <c r="H37" s="136"/>
      <c r="I37" s="93">
        <v>14.25</v>
      </c>
      <c r="J37" s="136"/>
      <c r="K37" s="93">
        <v>15.19</v>
      </c>
      <c r="L37" s="136"/>
      <c r="M37" s="93">
        <v>0</v>
      </c>
      <c r="N37" s="93"/>
      <c r="O37" s="93">
        <v>4.3499999999999996</v>
      </c>
      <c r="P37" s="93"/>
      <c r="Q37" s="93">
        <v>26</v>
      </c>
      <c r="R37" s="93"/>
      <c r="S37" s="93">
        <v>6.3</v>
      </c>
      <c r="T37" s="93"/>
      <c r="U37" s="93">
        <v>26</v>
      </c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</row>
    <row r="38" spans="1:39" x14ac:dyDescent="0.3">
      <c r="B38" s="64"/>
      <c r="C38" s="200"/>
      <c r="D38" s="93"/>
      <c r="E38" s="93">
        <f>E36+E37</f>
        <v>836.83627499999989</v>
      </c>
      <c r="F38" s="136"/>
      <c r="G38" s="93"/>
      <c r="H38" s="136"/>
      <c r="I38" s="93">
        <f>I36+I37</f>
        <v>494.895938</v>
      </c>
      <c r="J38" s="136"/>
      <c r="K38" s="93">
        <f>K36+K37</f>
        <v>521.70498799999996</v>
      </c>
      <c r="L38" s="136"/>
      <c r="M38" s="93">
        <f>M36+M37</f>
        <v>249.28621500000003</v>
      </c>
      <c r="N38" s="93"/>
      <c r="O38" s="93">
        <f>O36+O37</f>
        <v>149.41</v>
      </c>
      <c r="P38" s="93"/>
      <c r="Q38" s="93">
        <f>Q36+Q37</f>
        <v>1391.2538500000001</v>
      </c>
      <c r="R38" s="93"/>
      <c r="S38" s="93">
        <f>S36+S37</f>
        <v>216.4</v>
      </c>
      <c r="T38" s="93"/>
      <c r="U38" s="93">
        <f>U36+U37</f>
        <v>1178.3883214999998</v>
      </c>
      <c r="V38" s="93"/>
      <c r="W38" s="93">
        <f>W36+W37</f>
        <v>0</v>
      </c>
      <c r="X38" s="93"/>
      <c r="Y38" s="93">
        <f>Y36+Y37</f>
        <v>0</v>
      </c>
      <c r="Z38" s="93"/>
      <c r="AA38" s="93">
        <f>AA36+AA37</f>
        <v>0</v>
      </c>
      <c r="AB38" s="93"/>
      <c r="AC38" s="93">
        <f>AC36+AC37</f>
        <v>0</v>
      </c>
      <c r="AD38" s="93"/>
      <c r="AE38" s="93">
        <f>AE36+AE37</f>
        <v>0</v>
      </c>
      <c r="AF38" s="93"/>
      <c r="AG38" s="93">
        <f>AG36+AG37</f>
        <v>0</v>
      </c>
      <c r="AH38" s="93"/>
      <c r="AI38" s="93">
        <f>AI36+AI37</f>
        <v>0</v>
      </c>
      <c r="AJ38" s="93"/>
      <c r="AK38" s="93">
        <f>AK36+AK37</f>
        <v>0</v>
      </c>
      <c r="AL38" s="93"/>
      <c r="AM38" s="93">
        <f>AM36+AM37</f>
        <v>0</v>
      </c>
    </row>
    <row r="39" spans="1:39" x14ac:dyDescent="0.3">
      <c r="B39" s="64"/>
      <c r="C39" s="200"/>
      <c r="D39" s="93"/>
      <c r="E39" s="93">
        <v>885.07</v>
      </c>
      <c r="F39" s="136"/>
      <c r="G39" s="93"/>
      <c r="H39" s="136"/>
      <c r="I39" s="93">
        <v>534.54</v>
      </c>
      <c r="J39" s="136"/>
      <c r="K39" s="93">
        <v>552.61</v>
      </c>
      <c r="L39" s="136"/>
      <c r="M39" s="93">
        <v>263</v>
      </c>
      <c r="N39" s="93"/>
      <c r="O39" s="93">
        <v>174.38</v>
      </c>
      <c r="P39" s="93"/>
      <c r="Q39" s="93">
        <v>1471.55</v>
      </c>
      <c r="R39" s="93"/>
      <c r="S39" s="93">
        <v>229.22</v>
      </c>
      <c r="T39" s="93"/>
      <c r="U39" s="93">
        <v>1255.22</v>
      </c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</row>
    <row r="43" spans="1:39" ht="15" thickBot="1" x14ac:dyDescent="0.35"/>
    <row r="44" spans="1:39" s="3" customFormat="1" ht="21.6" customHeight="1" thickBot="1" x14ac:dyDescent="0.35">
      <c r="A44" s="226" t="s">
        <v>296</v>
      </c>
      <c r="B44" s="227"/>
      <c r="C44" s="224" t="s">
        <v>302</v>
      </c>
      <c r="D44" s="210" t="s">
        <v>285</v>
      </c>
      <c r="E44" s="211"/>
      <c r="F44" s="212" t="s">
        <v>288</v>
      </c>
      <c r="G44" s="213"/>
      <c r="H44" s="212" t="s">
        <v>289</v>
      </c>
      <c r="I44" s="214"/>
      <c r="J44" s="213" t="s">
        <v>290</v>
      </c>
      <c r="K44" s="213"/>
      <c r="L44" s="212" t="s">
        <v>291</v>
      </c>
      <c r="M44" s="214"/>
      <c r="N44" s="215" t="s">
        <v>292</v>
      </c>
      <c r="O44" s="216"/>
      <c r="P44" s="217" t="s">
        <v>293</v>
      </c>
      <c r="Q44" s="218"/>
      <c r="R44" s="217" t="s">
        <v>294</v>
      </c>
      <c r="S44" s="218"/>
      <c r="T44" s="217" t="s">
        <v>295</v>
      </c>
      <c r="U44" s="218"/>
      <c r="V44" s="217" t="s">
        <v>297</v>
      </c>
      <c r="W44" s="218"/>
      <c r="X44" s="217" t="s">
        <v>299</v>
      </c>
      <c r="Y44" s="218"/>
      <c r="Z44" s="217" t="s">
        <v>300</v>
      </c>
      <c r="AA44" s="218"/>
      <c r="AB44" s="217" t="s">
        <v>301</v>
      </c>
      <c r="AC44" s="218"/>
    </row>
    <row r="45" spans="1:39" s="3" customFormat="1" ht="21.6" customHeight="1" thickBot="1" x14ac:dyDescent="0.35">
      <c r="A45" s="228" t="s">
        <v>304</v>
      </c>
      <c r="B45" s="232" t="s">
        <v>303</v>
      </c>
      <c r="C45" s="225" t="s">
        <v>215</v>
      </c>
      <c r="D45" s="219" t="s">
        <v>215</v>
      </c>
      <c r="E45" s="220" t="s">
        <v>220</v>
      </c>
      <c r="F45" s="221" t="s">
        <v>215</v>
      </c>
      <c r="G45" s="220" t="s">
        <v>220</v>
      </c>
      <c r="H45" s="221" t="s">
        <v>215</v>
      </c>
      <c r="I45" s="220" t="s">
        <v>220</v>
      </c>
      <c r="J45" s="221" t="s">
        <v>215</v>
      </c>
      <c r="K45" s="220" t="s">
        <v>220</v>
      </c>
      <c r="L45" s="221" t="s">
        <v>215</v>
      </c>
      <c r="M45" s="222" t="s">
        <v>220</v>
      </c>
      <c r="N45" s="223" t="s">
        <v>215</v>
      </c>
      <c r="O45" s="220" t="s">
        <v>220</v>
      </c>
      <c r="P45" s="219" t="s">
        <v>215</v>
      </c>
      <c r="Q45" s="222" t="s">
        <v>220</v>
      </c>
      <c r="R45" s="219" t="s">
        <v>215</v>
      </c>
      <c r="S45" s="222" t="s">
        <v>220</v>
      </c>
      <c r="T45" s="223" t="s">
        <v>215</v>
      </c>
      <c r="U45" s="222" t="s">
        <v>220</v>
      </c>
      <c r="V45" s="223" t="s">
        <v>215</v>
      </c>
      <c r="W45" s="222" t="s">
        <v>220</v>
      </c>
      <c r="X45" s="223" t="s">
        <v>215</v>
      </c>
      <c r="Y45" s="222" t="s">
        <v>220</v>
      </c>
      <c r="Z45" s="223" t="s">
        <v>215</v>
      </c>
      <c r="AA45" s="222" t="s">
        <v>220</v>
      </c>
      <c r="AB45" s="223" t="s">
        <v>215</v>
      </c>
      <c r="AC45" s="222" t="s">
        <v>220</v>
      </c>
    </row>
    <row r="46" spans="1:39" s="2" customFormat="1" x14ac:dyDescent="0.3">
      <c r="A46" s="229" t="s">
        <v>263</v>
      </c>
      <c r="B46" s="233">
        <v>1.99</v>
      </c>
      <c r="C46" s="201">
        <f>SUM(D46,F46,H46,J46,L46,N46,P46,R46,T46,V46,X46,Z46,AB46,AD46)</f>
        <v>324</v>
      </c>
      <c r="D46" s="139">
        <v>18</v>
      </c>
      <c r="E46" s="90">
        <f t="shared" ref="E46:E48" si="6">D46*B46</f>
        <v>35.82</v>
      </c>
      <c r="F46" s="125">
        <v>36</v>
      </c>
      <c r="G46" s="88">
        <f t="shared" ref="G46:G64" si="7">F46*B46</f>
        <v>71.64</v>
      </c>
      <c r="H46" s="125">
        <v>36</v>
      </c>
      <c r="I46" s="90">
        <f t="shared" ref="I46:I64" si="8">H46*B46</f>
        <v>71.64</v>
      </c>
      <c r="J46" s="137">
        <v>18</v>
      </c>
      <c r="K46" s="88">
        <f t="shared" ref="K46:K64" si="9">J46*B46</f>
        <v>35.82</v>
      </c>
      <c r="L46" s="125">
        <v>36</v>
      </c>
      <c r="M46" s="90">
        <f t="shared" ref="M46:M64" si="10">L46*B46</f>
        <v>71.64</v>
      </c>
      <c r="N46" s="140">
        <v>54</v>
      </c>
      <c r="O46" s="90">
        <f>N46*B46</f>
        <v>107.46</v>
      </c>
      <c r="P46" s="140"/>
      <c r="Q46" s="88">
        <f>P46*B46</f>
        <v>0</v>
      </c>
      <c r="R46" s="139">
        <v>36</v>
      </c>
      <c r="S46" s="88">
        <f>R46*B46</f>
        <v>71.64</v>
      </c>
      <c r="T46" s="139">
        <v>54</v>
      </c>
      <c r="U46" s="88">
        <f>T46*B46</f>
        <v>107.46</v>
      </c>
      <c r="V46" s="123"/>
      <c r="W46" s="88">
        <f>V46*B46</f>
        <v>0</v>
      </c>
      <c r="X46" s="139"/>
      <c r="Y46" s="90">
        <f>X46*B46</f>
        <v>0</v>
      </c>
      <c r="Z46" s="139">
        <v>36</v>
      </c>
      <c r="AA46" s="90">
        <f>Z46*B46</f>
        <v>71.64</v>
      </c>
      <c r="AB46" s="139"/>
      <c r="AC46" s="90">
        <f>AB46*G46</f>
        <v>0</v>
      </c>
    </row>
    <row r="47" spans="1:39" x14ac:dyDescent="0.3">
      <c r="A47" s="192" t="s">
        <v>264</v>
      </c>
      <c r="B47" s="182">
        <v>2.69</v>
      </c>
      <c r="C47" s="199">
        <f t="shared" ref="C47:C70" si="11">SUM(D47,F47,H47,J47,L47,N47,P47,R47,T47,V47,X47,Z47,AB47,AD47)</f>
        <v>37</v>
      </c>
      <c r="D47" s="69">
        <v>6</v>
      </c>
      <c r="E47" s="160">
        <f t="shared" si="6"/>
        <v>16.14</v>
      </c>
      <c r="F47" s="130">
        <v>10</v>
      </c>
      <c r="G47" s="157">
        <f t="shared" si="7"/>
        <v>26.9</v>
      </c>
      <c r="H47" s="130"/>
      <c r="I47" s="158">
        <f t="shared" si="8"/>
        <v>0</v>
      </c>
      <c r="J47" s="159"/>
      <c r="K47" s="157">
        <f t="shared" si="9"/>
        <v>0</v>
      </c>
      <c r="L47" s="130"/>
      <c r="M47" s="158">
        <f t="shared" si="10"/>
        <v>0</v>
      </c>
      <c r="N47" s="70"/>
      <c r="O47" s="160">
        <f>N47*B47</f>
        <v>0</v>
      </c>
      <c r="P47" s="70"/>
      <c r="Q47" s="156">
        <f>P47*B47</f>
        <v>0</v>
      </c>
      <c r="R47" s="69">
        <v>7</v>
      </c>
      <c r="S47" s="156">
        <f>R47*B47</f>
        <v>18.829999999999998</v>
      </c>
      <c r="T47" s="69"/>
      <c r="U47" s="156">
        <f>T47*B47</f>
        <v>0</v>
      </c>
      <c r="V47" s="161">
        <v>8</v>
      </c>
      <c r="W47" s="157">
        <f>V47*B47</f>
        <v>21.52</v>
      </c>
      <c r="X47" s="69"/>
      <c r="Y47" s="160">
        <f>X47*B47</f>
        <v>0</v>
      </c>
      <c r="Z47" s="174">
        <v>6</v>
      </c>
      <c r="AA47" s="175">
        <v>13.74</v>
      </c>
      <c r="AB47" s="69"/>
      <c r="AC47" s="160">
        <f>AB47*G47</f>
        <v>0</v>
      </c>
    </row>
    <row r="48" spans="1:39" s="2" customFormat="1" x14ac:dyDescent="0.3">
      <c r="A48" s="230" t="s">
        <v>265</v>
      </c>
      <c r="B48" s="234">
        <v>3.99</v>
      </c>
      <c r="C48" s="202">
        <f t="shared" si="11"/>
        <v>14.824999999999999</v>
      </c>
      <c r="D48" s="142"/>
      <c r="E48" s="81">
        <f t="shared" si="6"/>
        <v>0</v>
      </c>
      <c r="F48" s="126">
        <v>3.28</v>
      </c>
      <c r="G48" s="94">
        <f t="shared" si="7"/>
        <v>13.087199999999999</v>
      </c>
      <c r="H48" s="126"/>
      <c r="I48" s="83">
        <f t="shared" si="8"/>
        <v>0</v>
      </c>
      <c r="J48" s="138"/>
      <c r="K48" s="94">
        <f t="shared" si="9"/>
        <v>0</v>
      </c>
      <c r="L48" s="126">
        <v>1.64</v>
      </c>
      <c r="M48" s="83">
        <f t="shared" si="10"/>
        <v>6.5435999999999996</v>
      </c>
      <c r="N48" s="143"/>
      <c r="O48" s="81">
        <f>N48*B48</f>
        <v>0</v>
      </c>
      <c r="P48" s="143"/>
      <c r="Q48" s="79">
        <f>P48*B48</f>
        <v>0</v>
      </c>
      <c r="R48" s="142">
        <v>3.64</v>
      </c>
      <c r="S48" s="79">
        <f>R48*B48</f>
        <v>14.523600000000002</v>
      </c>
      <c r="T48" s="142"/>
      <c r="U48" s="79">
        <f>T48*B48</f>
        <v>0</v>
      </c>
      <c r="V48" s="124">
        <v>3.2450000000000001</v>
      </c>
      <c r="W48" s="94">
        <f>V48*B48</f>
        <v>12.947550000000001</v>
      </c>
      <c r="X48" s="142"/>
      <c r="Y48" s="81">
        <f>X48*B48</f>
        <v>0</v>
      </c>
      <c r="Z48" s="142">
        <v>3.02</v>
      </c>
      <c r="AA48" s="81">
        <f>Z48*B48</f>
        <v>12.049800000000001</v>
      </c>
      <c r="AB48" s="142"/>
      <c r="AC48" s="81">
        <f>AB48*G48</f>
        <v>0</v>
      </c>
    </row>
    <row r="49" spans="1:29" x14ac:dyDescent="0.3">
      <c r="A49" s="192" t="s">
        <v>266</v>
      </c>
      <c r="B49" s="182">
        <v>1.99</v>
      </c>
      <c r="C49" s="196">
        <f t="shared" si="11"/>
        <v>46</v>
      </c>
      <c r="D49" s="69"/>
      <c r="E49" s="160">
        <f t="shared" ref="E49:E66" si="12">D49*B49</f>
        <v>0</v>
      </c>
      <c r="F49" s="130">
        <v>8</v>
      </c>
      <c r="G49" s="157">
        <f t="shared" si="7"/>
        <v>15.92</v>
      </c>
      <c r="H49" s="130"/>
      <c r="I49" s="158">
        <f t="shared" si="8"/>
        <v>0</v>
      </c>
      <c r="J49" s="159">
        <v>8</v>
      </c>
      <c r="K49" s="157">
        <f t="shared" si="9"/>
        <v>15.92</v>
      </c>
      <c r="L49" s="130"/>
      <c r="M49" s="158">
        <f t="shared" si="10"/>
        <v>0</v>
      </c>
      <c r="N49" s="70"/>
      <c r="O49" s="160">
        <f>N49*B49</f>
        <v>0</v>
      </c>
      <c r="P49" s="70">
        <v>7</v>
      </c>
      <c r="Q49" s="156">
        <f>P49*B49</f>
        <v>13.93</v>
      </c>
      <c r="R49" s="69">
        <v>8</v>
      </c>
      <c r="S49" s="156">
        <f>R49*B49</f>
        <v>15.92</v>
      </c>
      <c r="T49" s="69"/>
      <c r="U49" s="156">
        <f>T49*B49</f>
        <v>0</v>
      </c>
      <c r="V49" s="161">
        <v>7</v>
      </c>
      <c r="W49" s="157">
        <f>V49*B49</f>
        <v>13.93</v>
      </c>
      <c r="X49" s="69"/>
      <c r="Y49" s="160">
        <f>X49*B49</f>
        <v>0</v>
      </c>
      <c r="Z49" s="69">
        <v>8</v>
      </c>
      <c r="AA49" s="160">
        <f>Z49*B49</f>
        <v>15.92</v>
      </c>
      <c r="AB49" s="69"/>
      <c r="AC49" s="160">
        <f>AB49*G49</f>
        <v>0</v>
      </c>
    </row>
    <row r="50" spans="1:29" s="2" customFormat="1" x14ac:dyDescent="0.3">
      <c r="A50" s="230" t="s">
        <v>267</v>
      </c>
      <c r="B50" s="234">
        <v>4.99</v>
      </c>
      <c r="C50" s="203">
        <f t="shared" si="11"/>
        <v>0.96</v>
      </c>
      <c r="D50" s="142"/>
      <c r="E50" s="81">
        <f t="shared" si="12"/>
        <v>0</v>
      </c>
      <c r="F50" s="126"/>
      <c r="G50" s="94">
        <f t="shared" si="7"/>
        <v>0</v>
      </c>
      <c r="H50" s="126"/>
      <c r="I50" s="83">
        <f t="shared" si="8"/>
        <v>0</v>
      </c>
      <c r="J50" s="138"/>
      <c r="K50" s="94">
        <f t="shared" si="9"/>
        <v>0</v>
      </c>
      <c r="L50" s="126">
        <v>0.96</v>
      </c>
      <c r="M50" s="83">
        <f t="shared" si="10"/>
        <v>4.7904</v>
      </c>
      <c r="N50" s="143"/>
      <c r="O50" s="81">
        <f>N50*B50</f>
        <v>0</v>
      </c>
      <c r="P50" s="143"/>
      <c r="Q50" s="79">
        <f>P50*B50</f>
        <v>0</v>
      </c>
      <c r="R50" s="142"/>
      <c r="S50" s="79">
        <f>R50*B50</f>
        <v>0</v>
      </c>
      <c r="T50" s="142"/>
      <c r="U50" s="79">
        <f>T50*B50</f>
        <v>0</v>
      </c>
      <c r="V50" s="124"/>
      <c r="W50" s="94">
        <f>V50*B50</f>
        <v>0</v>
      </c>
      <c r="X50" s="142"/>
      <c r="Y50" s="81">
        <f>X50*B50</f>
        <v>0</v>
      </c>
      <c r="Z50" s="142"/>
      <c r="AA50" s="81">
        <f>Z50*E50</f>
        <v>0</v>
      </c>
      <c r="AB50" s="142"/>
      <c r="AC50" s="81">
        <f>AB50*G50</f>
        <v>0</v>
      </c>
    </row>
    <row r="51" spans="1:29" x14ac:dyDescent="0.3">
      <c r="A51" s="192" t="s">
        <v>268</v>
      </c>
      <c r="B51" s="182">
        <v>4.99</v>
      </c>
      <c r="C51" s="196">
        <f t="shared" si="11"/>
        <v>2.75</v>
      </c>
      <c r="D51" s="69"/>
      <c r="E51" s="160">
        <f t="shared" si="12"/>
        <v>0</v>
      </c>
      <c r="F51" s="130"/>
      <c r="G51" s="157">
        <f t="shared" si="7"/>
        <v>0</v>
      </c>
      <c r="H51" s="130"/>
      <c r="I51" s="158">
        <f t="shared" si="8"/>
        <v>0</v>
      </c>
      <c r="J51" s="159"/>
      <c r="K51" s="157">
        <f t="shared" si="9"/>
        <v>0</v>
      </c>
      <c r="L51" s="130">
        <v>1.4450000000000001</v>
      </c>
      <c r="M51" s="158">
        <f t="shared" si="10"/>
        <v>7.2105500000000005</v>
      </c>
      <c r="N51" s="70"/>
      <c r="O51" s="160">
        <f>N51*B51</f>
        <v>0</v>
      </c>
      <c r="P51" s="70"/>
      <c r="Q51" s="156">
        <f>P51*B51</f>
        <v>0</v>
      </c>
      <c r="R51" s="69"/>
      <c r="S51" s="156">
        <f>R51*B51</f>
        <v>0</v>
      </c>
      <c r="T51" s="69"/>
      <c r="U51" s="156">
        <f>T51*B51</f>
        <v>0</v>
      </c>
      <c r="V51" s="161">
        <v>1.3049999999999999</v>
      </c>
      <c r="W51" s="157">
        <f>V51*B51</f>
        <v>6.5119499999999997</v>
      </c>
      <c r="X51" s="69"/>
      <c r="Y51" s="160">
        <f>X51*B51</f>
        <v>0</v>
      </c>
      <c r="Z51" s="69"/>
      <c r="AA51" s="160">
        <f>Z51*E51</f>
        <v>0</v>
      </c>
      <c r="AB51" s="69"/>
      <c r="AC51" s="160">
        <f>AB51*G51</f>
        <v>0</v>
      </c>
    </row>
    <row r="52" spans="1:29" s="2" customFormat="1" x14ac:dyDescent="0.3">
      <c r="A52" s="230" t="s">
        <v>269</v>
      </c>
      <c r="B52" s="234">
        <v>2.99</v>
      </c>
      <c r="C52" s="202">
        <f t="shared" si="11"/>
        <v>1.5249999999999999</v>
      </c>
      <c r="D52" s="142"/>
      <c r="E52" s="81">
        <f t="shared" si="12"/>
        <v>0</v>
      </c>
      <c r="F52" s="126">
        <v>1.5249999999999999</v>
      </c>
      <c r="G52" s="94">
        <f t="shared" si="7"/>
        <v>4.5597500000000002</v>
      </c>
      <c r="H52" s="126"/>
      <c r="I52" s="83">
        <f t="shared" si="8"/>
        <v>0</v>
      </c>
      <c r="J52" s="138"/>
      <c r="K52" s="94">
        <f t="shared" si="9"/>
        <v>0</v>
      </c>
      <c r="L52" s="126"/>
      <c r="M52" s="83">
        <f t="shared" si="10"/>
        <v>0</v>
      </c>
      <c r="N52" s="143"/>
      <c r="O52" s="81">
        <f>N52*B52</f>
        <v>0</v>
      </c>
      <c r="P52" s="143"/>
      <c r="Q52" s="79">
        <f>P52*B52</f>
        <v>0</v>
      </c>
      <c r="R52" s="142"/>
      <c r="S52" s="79">
        <f>R52*B52</f>
        <v>0</v>
      </c>
      <c r="T52" s="142"/>
      <c r="U52" s="79">
        <f>T52*B52</f>
        <v>0</v>
      </c>
      <c r="V52" s="82"/>
      <c r="W52" s="94">
        <f>V52*B52</f>
        <v>0</v>
      </c>
      <c r="X52" s="142"/>
      <c r="Y52" s="81">
        <f>X52*B52</f>
        <v>0</v>
      </c>
      <c r="Z52" s="142"/>
      <c r="AA52" s="81">
        <f>Z52*E52</f>
        <v>0</v>
      </c>
      <c r="AB52" s="142"/>
      <c r="AC52" s="81">
        <f>AB52*G52</f>
        <v>0</v>
      </c>
    </row>
    <row r="53" spans="1:29" x14ac:dyDescent="0.3">
      <c r="A53" s="192" t="s">
        <v>270</v>
      </c>
      <c r="B53" s="182">
        <v>16.899999999999999</v>
      </c>
      <c r="C53" s="196">
        <f t="shared" si="11"/>
        <v>5</v>
      </c>
      <c r="D53" s="69"/>
      <c r="E53" s="160">
        <f t="shared" si="12"/>
        <v>0</v>
      </c>
      <c r="F53" s="130">
        <v>1</v>
      </c>
      <c r="G53" s="157">
        <f t="shared" si="7"/>
        <v>16.899999999999999</v>
      </c>
      <c r="H53" s="130"/>
      <c r="I53" s="158">
        <f t="shared" si="8"/>
        <v>0</v>
      </c>
      <c r="J53" s="159"/>
      <c r="K53" s="157">
        <f t="shared" si="9"/>
        <v>0</v>
      </c>
      <c r="L53" s="130">
        <v>1</v>
      </c>
      <c r="M53" s="158">
        <f t="shared" si="10"/>
        <v>16.899999999999999</v>
      </c>
      <c r="N53" s="70"/>
      <c r="O53" s="160">
        <f>N53*B53</f>
        <v>0</v>
      </c>
      <c r="P53" s="70">
        <v>1</v>
      </c>
      <c r="Q53" s="156">
        <f>P53*B53</f>
        <v>16.899999999999999</v>
      </c>
      <c r="R53" s="69">
        <v>1</v>
      </c>
      <c r="S53" s="156">
        <f>R53*B53</f>
        <v>16.899999999999999</v>
      </c>
      <c r="T53" s="69"/>
      <c r="U53" s="156">
        <f>T53*B53</f>
        <v>0</v>
      </c>
      <c r="V53" s="164">
        <v>1</v>
      </c>
      <c r="W53" s="157">
        <f>V53*B53</f>
        <v>16.899999999999999</v>
      </c>
      <c r="X53" s="69"/>
      <c r="Y53" s="160">
        <f>X53*B53</f>
        <v>0</v>
      </c>
      <c r="Z53" s="69"/>
      <c r="AA53" s="160">
        <f>Z53*E53</f>
        <v>0</v>
      </c>
      <c r="AB53" s="69"/>
      <c r="AC53" s="160">
        <f>AB53*G53</f>
        <v>0</v>
      </c>
    </row>
    <row r="54" spans="1:29" s="2" customFormat="1" x14ac:dyDescent="0.3">
      <c r="A54" s="230" t="s">
        <v>271</v>
      </c>
      <c r="B54" s="234">
        <v>2.4900000000000002</v>
      </c>
      <c r="C54" s="203">
        <f t="shared" si="11"/>
        <v>7.2100000000000009</v>
      </c>
      <c r="D54" s="142">
        <v>3.5950000000000002</v>
      </c>
      <c r="E54" s="81">
        <f t="shared" si="12"/>
        <v>8.951550000000001</v>
      </c>
      <c r="F54" s="126"/>
      <c r="G54" s="94">
        <f t="shared" si="7"/>
        <v>0</v>
      </c>
      <c r="H54" s="126"/>
      <c r="I54" s="83">
        <f t="shared" si="8"/>
        <v>0</v>
      </c>
      <c r="J54" s="138"/>
      <c r="K54" s="94">
        <f t="shared" si="9"/>
        <v>0</v>
      </c>
      <c r="L54" s="126"/>
      <c r="M54" s="83">
        <f t="shared" si="10"/>
        <v>0</v>
      </c>
      <c r="N54" s="143"/>
      <c r="O54" s="81">
        <f>N54*B54</f>
        <v>0</v>
      </c>
      <c r="P54" s="143"/>
      <c r="Q54" s="79">
        <f>P54*B54</f>
        <v>0</v>
      </c>
      <c r="R54" s="142"/>
      <c r="S54" s="79">
        <f>R54*B54</f>
        <v>0</v>
      </c>
      <c r="T54" s="142">
        <v>3.6150000000000002</v>
      </c>
      <c r="U54" s="79">
        <f>T54*B54</f>
        <v>9.0013500000000022</v>
      </c>
      <c r="V54" s="82"/>
      <c r="W54" s="94">
        <f>V54*B54</f>
        <v>0</v>
      </c>
      <c r="X54" s="142"/>
      <c r="Y54" s="81">
        <f>X54*B54</f>
        <v>0</v>
      </c>
      <c r="Z54" s="142"/>
      <c r="AA54" s="81">
        <f>Z54*E54</f>
        <v>0</v>
      </c>
      <c r="AB54" s="142"/>
      <c r="AC54" s="81">
        <f>AB54*G54</f>
        <v>0</v>
      </c>
    </row>
    <row r="55" spans="1:29" x14ac:dyDescent="0.3">
      <c r="A55" s="192" t="s">
        <v>272</v>
      </c>
      <c r="B55" s="182">
        <v>3.99</v>
      </c>
      <c r="C55" s="196">
        <f t="shared" si="11"/>
        <v>2.52</v>
      </c>
      <c r="D55" s="69"/>
      <c r="E55" s="160">
        <f t="shared" si="12"/>
        <v>0</v>
      </c>
      <c r="F55" s="130"/>
      <c r="G55" s="157">
        <f t="shared" si="7"/>
        <v>0</v>
      </c>
      <c r="H55" s="130"/>
      <c r="I55" s="158">
        <f t="shared" si="8"/>
        <v>0</v>
      </c>
      <c r="J55" s="159"/>
      <c r="K55" s="157">
        <f t="shared" si="9"/>
        <v>0</v>
      </c>
      <c r="L55" s="130"/>
      <c r="M55" s="158">
        <f t="shared" si="10"/>
        <v>0</v>
      </c>
      <c r="N55" s="70"/>
      <c r="O55" s="160">
        <f>N55*B55</f>
        <v>0</v>
      </c>
      <c r="P55" s="70"/>
      <c r="Q55" s="156">
        <f>P55*B55</f>
        <v>0</v>
      </c>
      <c r="R55" s="69"/>
      <c r="S55" s="156">
        <f>R55*B55</f>
        <v>0</v>
      </c>
      <c r="T55" s="69"/>
      <c r="U55" s="156">
        <f>T55*B55</f>
        <v>0</v>
      </c>
      <c r="V55" s="164">
        <v>2.52</v>
      </c>
      <c r="W55" s="157">
        <f>V55*B55</f>
        <v>10.0548</v>
      </c>
      <c r="X55" s="69"/>
      <c r="Y55" s="160">
        <f>X55*B55</f>
        <v>0</v>
      </c>
      <c r="Z55" s="69"/>
      <c r="AA55" s="160">
        <f>Z55*E55</f>
        <v>0</v>
      </c>
      <c r="AB55" s="69"/>
      <c r="AC55" s="160">
        <f>AB55*G55</f>
        <v>0</v>
      </c>
    </row>
    <row r="56" spans="1:29" s="2" customFormat="1" x14ac:dyDescent="0.3">
      <c r="A56" s="230" t="s">
        <v>298</v>
      </c>
      <c r="B56" s="234">
        <v>5.99</v>
      </c>
      <c r="C56" s="202">
        <f t="shared" si="11"/>
        <v>2.1349999999999998</v>
      </c>
      <c r="D56" s="142"/>
      <c r="E56" s="81">
        <f t="shared" si="12"/>
        <v>0</v>
      </c>
      <c r="F56" s="126"/>
      <c r="G56" s="94">
        <f t="shared" si="7"/>
        <v>0</v>
      </c>
      <c r="H56" s="126"/>
      <c r="I56" s="83">
        <f t="shared" si="8"/>
        <v>0</v>
      </c>
      <c r="J56" s="138"/>
      <c r="K56" s="94">
        <f t="shared" si="9"/>
        <v>0</v>
      </c>
      <c r="L56" s="126"/>
      <c r="M56" s="83">
        <f t="shared" si="10"/>
        <v>0</v>
      </c>
      <c r="N56" s="143"/>
      <c r="O56" s="81">
        <f>N56*B56</f>
        <v>0</v>
      </c>
      <c r="P56" s="143"/>
      <c r="Q56" s="79">
        <f>P56*B56</f>
        <v>0</v>
      </c>
      <c r="R56" s="142"/>
      <c r="S56" s="79">
        <f>R56*B56</f>
        <v>0</v>
      </c>
      <c r="T56" s="142"/>
      <c r="U56" s="79">
        <f>T56*B56</f>
        <v>0</v>
      </c>
      <c r="V56" s="82">
        <v>1.38</v>
      </c>
      <c r="W56" s="94">
        <f>V56*B56</f>
        <v>8.2661999999999995</v>
      </c>
      <c r="X56" s="142">
        <v>0.755</v>
      </c>
      <c r="Y56" s="81">
        <f>X56*B56</f>
        <v>4.5224500000000001</v>
      </c>
      <c r="Z56" s="142"/>
      <c r="AA56" s="81">
        <f>Z56*E56</f>
        <v>0</v>
      </c>
      <c r="AB56" s="142"/>
      <c r="AC56" s="81">
        <f>AB56*G56</f>
        <v>0</v>
      </c>
    </row>
    <row r="57" spans="1:29" x14ac:dyDescent="0.3">
      <c r="A57" s="192" t="s">
        <v>283</v>
      </c>
      <c r="B57" s="182">
        <v>3.99</v>
      </c>
      <c r="C57" s="196">
        <f t="shared" si="11"/>
        <v>2.12</v>
      </c>
      <c r="D57" s="69"/>
      <c r="E57" s="160">
        <f t="shared" si="12"/>
        <v>0</v>
      </c>
      <c r="F57" s="130"/>
      <c r="G57" s="157">
        <f t="shared" si="7"/>
        <v>0</v>
      </c>
      <c r="H57" s="130"/>
      <c r="I57" s="158">
        <f t="shared" si="8"/>
        <v>0</v>
      </c>
      <c r="J57" s="159">
        <v>0.59499999999999997</v>
      </c>
      <c r="K57" s="157">
        <f t="shared" si="9"/>
        <v>2.37405</v>
      </c>
      <c r="L57" s="130"/>
      <c r="M57" s="158">
        <f t="shared" si="10"/>
        <v>0</v>
      </c>
      <c r="N57" s="70"/>
      <c r="O57" s="160">
        <f>N57*B57</f>
        <v>0</v>
      </c>
      <c r="P57" s="70"/>
      <c r="Q57" s="156">
        <f>P57*B57</f>
        <v>0</v>
      </c>
      <c r="R57" s="69">
        <v>0.57499999999999996</v>
      </c>
      <c r="S57" s="156">
        <f>R57*B57</f>
        <v>2.2942499999999999</v>
      </c>
      <c r="T57" s="69"/>
      <c r="U57" s="156">
        <f>T57*B57</f>
        <v>0</v>
      </c>
      <c r="V57" s="164"/>
      <c r="W57" s="157">
        <f>V57*B57</f>
        <v>0</v>
      </c>
      <c r="X57" s="69"/>
      <c r="Y57" s="160">
        <f>X57*B57</f>
        <v>0</v>
      </c>
      <c r="Z57" s="69">
        <v>0.95</v>
      </c>
      <c r="AA57" s="160">
        <f>Z57*B57</f>
        <v>3.7905000000000002</v>
      </c>
      <c r="AB57" s="69"/>
      <c r="AC57" s="160">
        <f>AB57*G57</f>
        <v>0</v>
      </c>
    </row>
    <row r="58" spans="1:29" s="2" customFormat="1" x14ac:dyDescent="0.3">
      <c r="A58" s="230" t="s">
        <v>284</v>
      </c>
      <c r="B58" s="234">
        <v>11.99</v>
      </c>
      <c r="C58" s="203">
        <f t="shared" si="11"/>
        <v>0.61</v>
      </c>
      <c r="D58" s="142"/>
      <c r="E58" s="81">
        <f t="shared" si="12"/>
        <v>0</v>
      </c>
      <c r="F58" s="126"/>
      <c r="G58" s="94">
        <f t="shared" si="7"/>
        <v>0</v>
      </c>
      <c r="H58" s="126"/>
      <c r="I58" s="83">
        <f t="shared" si="8"/>
        <v>0</v>
      </c>
      <c r="J58" s="138"/>
      <c r="K58" s="94">
        <f t="shared" si="9"/>
        <v>0</v>
      </c>
      <c r="L58" s="126"/>
      <c r="M58" s="83">
        <f t="shared" si="10"/>
        <v>0</v>
      </c>
      <c r="N58" s="143"/>
      <c r="O58" s="81">
        <f>N58*B58</f>
        <v>0</v>
      </c>
      <c r="P58" s="143"/>
      <c r="Q58" s="79">
        <f>P58*B58</f>
        <v>0</v>
      </c>
      <c r="R58" s="142">
        <v>0.61</v>
      </c>
      <c r="S58" s="79">
        <f>R58*B58</f>
        <v>7.3139000000000003</v>
      </c>
      <c r="T58" s="142"/>
      <c r="U58" s="79">
        <f>T58*B58</f>
        <v>0</v>
      </c>
      <c r="V58" s="82"/>
      <c r="W58" s="94">
        <f>V58*B58</f>
        <v>0</v>
      </c>
      <c r="X58" s="142"/>
      <c r="Y58" s="81">
        <f>X58*B58</f>
        <v>0</v>
      </c>
      <c r="Z58" s="142"/>
      <c r="AA58" s="81">
        <f>Z58*E58</f>
        <v>0</v>
      </c>
      <c r="AB58" s="142"/>
      <c r="AC58" s="81">
        <f>AB58*G58</f>
        <v>0</v>
      </c>
    </row>
    <row r="59" spans="1:29" x14ac:dyDescent="0.3">
      <c r="A59" s="192" t="s">
        <v>273</v>
      </c>
      <c r="B59" s="182">
        <v>9.9</v>
      </c>
      <c r="C59" s="196">
        <f t="shared" si="11"/>
        <v>2.0100000000000002</v>
      </c>
      <c r="D59" s="69">
        <v>0.89</v>
      </c>
      <c r="E59" s="160">
        <f t="shared" si="12"/>
        <v>8.8109999999999999</v>
      </c>
      <c r="F59" s="130"/>
      <c r="G59" s="157">
        <f t="shared" si="7"/>
        <v>0</v>
      </c>
      <c r="H59" s="130"/>
      <c r="I59" s="158">
        <f t="shared" si="8"/>
        <v>0</v>
      </c>
      <c r="J59" s="159"/>
      <c r="K59" s="157">
        <f t="shared" si="9"/>
        <v>0</v>
      </c>
      <c r="L59" s="130"/>
      <c r="M59" s="158">
        <f t="shared" si="10"/>
        <v>0</v>
      </c>
      <c r="N59" s="70"/>
      <c r="O59" s="160">
        <f>N59*B59</f>
        <v>0</v>
      </c>
      <c r="P59" s="70"/>
      <c r="Q59" s="156">
        <f>P59*B59</f>
        <v>0</v>
      </c>
      <c r="R59" s="69"/>
      <c r="S59" s="156">
        <f>R59*B59</f>
        <v>0</v>
      </c>
      <c r="T59" s="69"/>
      <c r="U59" s="156">
        <f>T59*B59</f>
        <v>0</v>
      </c>
      <c r="V59" s="164">
        <v>1.1200000000000001</v>
      </c>
      <c r="W59" s="157">
        <f>V59*B59</f>
        <v>11.088000000000001</v>
      </c>
      <c r="X59" s="69"/>
      <c r="Y59" s="160">
        <f>X59*B59</f>
        <v>0</v>
      </c>
      <c r="Z59" s="69"/>
      <c r="AA59" s="160">
        <f>Z59*E59</f>
        <v>0</v>
      </c>
      <c r="AB59" s="69"/>
      <c r="AC59" s="160">
        <f>AB59*G59</f>
        <v>0</v>
      </c>
    </row>
    <row r="60" spans="1:29" s="2" customFormat="1" x14ac:dyDescent="0.3">
      <c r="A60" s="230" t="s">
        <v>274</v>
      </c>
      <c r="B60" s="234">
        <v>1.99</v>
      </c>
      <c r="C60" s="203">
        <f t="shared" si="11"/>
        <v>11</v>
      </c>
      <c r="D60" s="142">
        <v>5</v>
      </c>
      <c r="E60" s="81">
        <f t="shared" si="12"/>
        <v>9.9499999999999993</v>
      </c>
      <c r="F60" s="126"/>
      <c r="G60" s="94">
        <f t="shared" si="7"/>
        <v>0</v>
      </c>
      <c r="H60" s="126"/>
      <c r="I60" s="83">
        <f t="shared" si="8"/>
        <v>0</v>
      </c>
      <c r="J60" s="138"/>
      <c r="K60" s="94">
        <f t="shared" si="9"/>
        <v>0</v>
      </c>
      <c r="L60" s="126"/>
      <c r="M60" s="83">
        <f t="shared" si="10"/>
        <v>0</v>
      </c>
      <c r="N60" s="143"/>
      <c r="O60" s="81">
        <f>N60*B60</f>
        <v>0</v>
      </c>
      <c r="P60" s="143"/>
      <c r="Q60" s="79">
        <f>P60*B60</f>
        <v>0</v>
      </c>
      <c r="R60" s="142"/>
      <c r="S60" s="79">
        <f>R60*B60</f>
        <v>0</v>
      </c>
      <c r="T60" s="142">
        <v>6</v>
      </c>
      <c r="U60" s="79">
        <f>T60*B60</f>
        <v>11.94</v>
      </c>
      <c r="V60" s="82"/>
      <c r="W60" s="94">
        <f>V60*B60</f>
        <v>0</v>
      </c>
      <c r="X60" s="142"/>
      <c r="Y60" s="81">
        <f>X60*B60</f>
        <v>0</v>
      </c>
      <c r="Z60" s="142"/>
      <c r="AA60" s="81">
        <f>Z60*E60</f>
        <v>0</v>
      </c>
      <c r="AB60" s="142"/>
      <c r="AC60" s="81">
        <f>AB60*G60</f>
        <v>0</v>
      </c>
    </row>
    <row r="61" spans="1:29" x14ac:dyDescent="0.3">
      <c r="A61" s="192" t="s">
        <v>275</v>
      </c>
      <c r="B61" s="182"/>
      <c r="C61" s="196">
        <f t="shared" si="11"/>
        <v>0</v>
      </c>
      <c r="D61" s="69"/>
      <c r="E61" s="160">
        <f t="shared" si="12"/>
        <v>0</v>
      </c>
      <c r="F61" s="130"/>
      <c r="G61" s="157">
        <f t="shared" si="7"/>
        <v>0</v>
      </c>
      <c r="H61" s="130"/>
      <c r="I61" s="158">
        <f t="shared" si="8"/>
        <v>0</v>
      </c>
      <c r="J61" s="159"/>
      <c r="K61" s="157">
        <f t="shared" si="9"/>
        <v>0</v>
      </c>
      <c r="L61" s="130"/>
      <c r="M61" s="158">
        <f t="shared" si="10"/>
        <v>0</v>
      </c>
      <c r="N61" s="70"/>
      <c r="O61" s="160">
        <f>N61*B61</f>
        <v>0</v>
      </c>
      <c r="P61" s="70"/>
      <c r="Q61" s="156">
        <f>P61*B61</f>
        <v>0</v>
      </c>
      <c r="R61" s="69"/>
      <c r="S61" s="156">
        <f>R61*B61</f>
        <v>0</v>
      </c>
      <c r="T61" s="69"/>
      <c r="U61" s="156">
        <f>T61*B61</f>
        <v>0</v>
      </c>
      <c r="V61" s="164"/>
      <c r="W61" s="157">
        <f>V61*B61</f>
        <v>0</v>
      </c>
      <c r="X61" s="69"/>
      <c r="Y61" s="160">
        <f>X61*B61</f>
        <v>0</v>
      </c>
      <c r="Z61" s="69"/>
      <c r="AA61" s="160">
        <f>Z61*E61</f>
        <v>0</v>
      </c>
      <c r="AB61" s="69"/>
      <c r="AC61" s="160">
        <f>AB61*G61</f>
        <v>0</v>
      </c>
    </row>
    <row r="62" spans="1:29" s="2" customFormat="1" x14ac:dyDescent="0.3">
      <c r="A62" s="230" t="s">
        <v>276</v>
      </c>
      <c r="B62" s="234">
        <v>17.98</v>
      </c>
      <c r="C62" s="203">
        <f t="shared" si="11"/>
        <v>1.1299999999999999</v>
      </c>
      <c r="D62" s="142"/>
      <c r="E62" s="81">
        <f t="shared" si="12"/>
        <v>0</v>
      </c>
      <c r="F62" s="126"/>
      <c r="G62" s="94">
        <f t="shared" si="7"/>
        <v>0</v>
      </c>
      <c r="H62" s="126"/>
      <c r="I62" s="83">
        <f t="shared" si="8"/>
        <v>0</v>
      </c>
      <c r="J62" s="138"/>
      <c r="K62" s="94">
        <f t="shared" si="9"/>
        <v>0</v>
      </c>
      <c r="L62" s="126"/>
      <c r="M62" s="83">
        <f t="shared" si="10"/>
        <v>0</v>
      </c>
      <c r="N62" s="143"/>
      <c r="O62" s="81">
        <f>N62*B62</f>
        <v>0</v>
      </c>
      <c r="P62" s="143">
        <v>0.32500000000000001</v>
      </c>
      <c r="Q62" s="79">
        <f>P62*B62</f>
        <v>5.8435000000000006</v>
      </c>
      <c r="R62" s="142"/>
      <c r="S62" s="79">
        <f>R62*B62</f>
        <v>0</v>
      </c>
      <c r="T62" s="142"/>
      <c r="U62" s="79">
        <f>T62*B62</f>
        <v>0</v>
      </c>
      <c r="V62" s="82">
        <v>0.49</v>
      </c>
      <c r="W62" s="94">
        <f>V62*B62</f>
        <v>8.8102</v>
      </c>
      <c r="X62" s="142"/>
      <c r="Y62" s="81">
        <f>X62*B62</f>
        <v>0</v>
      </c>
      <c r="Z62" s="142">
        <v>0.315</v>
      </c>
      <c r="AA62" s="81">
        <f>Z62*B62</f>
        <v>5.6637000000000004</v>
      </c>
      <c r="AB62" s="142"/>
      <c r="AC62" s="81">
        <f>AB62*G62</f>
        <v>0</v>
      </c>
    </row>
    <row r="63" spans="1:29" x14ac:dyDescent="0.3">
      <c r="A63" s="192" t="s">
        <v>277</v>
      </c>
      <c r="B63" s="182">
        <v>3.99</v>
      </c>
      <c r="C63" s="196">
        <f t="shared" si="11"/>
        <v>12</v>
      </c>
      <c r="D63" s="69"/>
      <c r="E63" s="160">
        <f t="shared" si="12"/>
        <v>0</v>
      </c>
      <c r="F63" s="130"/>
      <c r="G63" s="157">
        <f t="shared" si="7"/>
        <v>0</v>
      </c>
      <c r="H63" s="130"/>
      <c r="I63" s="158">
        <f t="shared" si="8"/>
        <v>0</v>
      </c>
      <c r="J63" s="159">
        <v>3</v>
      </c>
      <c r="K63" s="157">
        <f t="shared" si="9"/>
        <v>11.97</v>
      </c>
      <c r="L63" s="130">
        <v>2</v>
      </c>
      <c r="M63" s="158">
        <f t="shared" si="10"/>
        <v>7.98</v>
      </c>
      <c r="N63" s="70"/>
      <c r="O63" s="160">
        <f>N63*B63</f>
        <v>0</v>
      </c>
      <c r="P63" s="70">
        <v>3</v>
      </c>
      <c r="Q63" s="156">
        <f>P63*B63</f>
        <v>11.97</v>
      </c>
      <c r="R63" s="69"/>
      <c r="S63" s="156">
        <f>R63*B63</f>
        <v>0</v>
      </c>
      <c r="T63" s="69">
        <v>2</v>
      </c>
      <c r="U63" s="156">
        <f>T63*B63</f>
        <v>7.98</v>
      </c>
      <c r="V63" s="164"/>
      <c r="W63" s="157">
        <f>V63*B63</f>
        <v>0</v>
      </c>
      <c r="X63" s="69"/>
      <c r="Y63" s="160">
        <f>X63*B63</f>
        <v>0</v>
      </c>
      <c r="Z63" s="69">
        <v>2</v>
      </c>
      <c r="AA63" s="160">
        <f>Z63*B63</f>
        <v>7.98</v>
      </c>
      <c r="AB63" s="69"/>
      <c r="AC63" s="160">
        <f>AB63*G63</f>
        <v>0</v>
      </c>
    </row>
    <row r="64" spans="1:29" s="2" customFormat="1" x14ac:dyDescent="0.3">
      <c r="A64" s="230" t="s">
        <v>278</v>
      </c>
      <c r="B64" s="234">
        <v>4.99</v>
      </c>
      <c r="C64" s="203">
        <f t="shared" si="11"/>
        <v>1.1299999999999999</v>
      </c>
      <c r="D64" s="142">
        <v>1.1299999999999999</v>
      </c>
      <c r="E64" s="81">
        <f t="shared" si="12"/>
        <v>5.6387</v>
      </c>
      <c r="F64" s="126"/>
      <c r="G64" s="94">
        <f t="shared" si="7"/>
        <v>0</v>
      </c>
      <c r="H64" s="126"/>
      <c r="I64" s="83">
        <f t="shared" si="8"/>
        <v>0</v>
      </c>
      <c r="J64" s="138"/>
      <c r="K64" s="94">
        <f t="shared" si="9"/>
        <v>0</v>
      </c>
      <c r="L64" s="126"/>
      <c r="M64" s="83">
        <f t="shared" si="10"/>
        <v>0</v>
      </c>
      <c r="N64" s="143"/>
      <c r="O64" s="81">
        <f>N64*B64</f>
        <v>0</v>
      </c>
      <c r="P64" s="143"/>
      <c r="Q64" s="79">
        <f>P64*B64</f>
        <v>0</v>
      </c>
      <c r="R64" s="142"/>
      <c r="S64" s="79">
        <f>R64*B64</f>
        <v>0</v>
      </c>
      <c r="T64" s="142"/>
      <c r="U64" s="79">
        <f>T64*B64</f>
        <v>0</v>
      </c>
      <c r="V64" s="82"/>
      <c r="W64" s="94">
        <f>V64*B64</f>
        <v>0</v>
      </c>
      <c r="X64" s="142"/>
      <c r="Y64" s="81">
        <f>X64*B64</f>
        <v>0</v>
      </c>
      <c r="Z64" s="142"/>
      <c r="AA64" s="81">
        <f>Z64*E64</f>
        <v>0</v>
      </c>
      <c r="AB64" s="142"/>
      <c r="AC64" s="81">
        <f>AB64*G64</f>
        <v>0</v>
      </c>
    </row>
    <row r="65" spans="1:31" x14ac:dyDescent="0.3">
      <c r="A65" s="192" t="s">
        <v>279</v>
      </c>
      <c r="B65" s="182">
        <v>3</v>
      </c>
      <c r="C65" s="196">
        <f t="shared" si="11"/>
        <v>8</v>
      </c>
      <c r="D65" s="69">
        <v>3</v>
      </c>
      <c r="E65" s="160">
        <f t="shared" si="12"/>
        <v>9</v>
      </c>
      <c r="F65" s="130"/>
      <c r="G65" s="157">
        <f>F65*B65</f>
        <v>0</v>
      </c>
      <c r="H65" s="130"/>
      <c r="I65" s="158">
        <f>H65*B65</f>
        <v>0</v>
      </c>
      <c r="J65" s="159"/>
      <c r="K65" s="157">
        <f>J65*B65</f>
        <v>0</v>
      </c>
      <c r="L65" s="130"/>
      <c r="M65" s="158">
        <f>L65*B65</f>
        <v>0</v>
      </c>
      <c r="N65" s="70"/>
      <c r="O65" s="160">
        <f>N65*B65</f>
        <v>0</v>
      </c>
      <c r="P65" s="70">
        <v>2</v>
      </c>
      <c r="Q65" s="156">
        <f>P65*B65</f>
        <v>6</v>
      </c>
      <c r="R65" s="69"/>
      <c r="S65" s="156">
        <f>R65*B65</f>
        <v>0</v>
      </c>
      <c r="T65" s="69"/>
      <c r="U65" s="156">
        <f>T65*B65</f>
        <v>0</v>
      </c>
      <c r="V65" s="161">
        <v>3</v>
      </c>
      <c r="W65" s="157">
        <f>V65*B65</f>
        <v>9</v>
      </c>
      <c r="X65" s="69"/>
      <c r="Y65" s="160">
        <f>X65*B65</f>
        <v>0</v>
      </c>
      <c r="Z65" s="69"/>
      <c r="AA65" s="160">
        <f>Z65*E65</f>
        <v>0</v>
      </c>
      <c r="AB65" s="69"/>
      <c r="AC65" s="160">
        <f>AB65*G65</f>
        <v>0</v>
      </c>
    </row>
    <row r="66" spans="1:31" s="2" customFormat="1" x14ac:dyDescent="0.3">
      <c r="A66" s="230" t="s">
        <v>280</v>
      </c>
      <c r="B66" s="234">
        <v>12.99</v>
      </c>
      <c r="C66" s="203">
        <f t="shared" si="11"/>
        <v>1.29</v>
      </c>
      <c r="D66" s="142"/>
      <c r="E66" s="81">
        <f t="shared" si="12"/>
        <v>0</v>
      </c>
      <c r="F66" s="126"/>
      <c r="G66" s="94">
        <f>F66*B66</f>
        <v>0</v>
      </c>
      <c r="H66" s="126"/>
      <c r="I66" s="83">
        <f>H66*B66</f>
        <v>0</v>
      </c>
      <c r="J66" s="138"/>
      <c r="K66" s="94">
        <f>J66*B66</f>
        <v>0</v>
      </c>
      <c r="L66" s="126">
        <v>0.8</v>
      </c>
      <c r="M66" s="83">
        <f>L66*B66</f>
        <v>10.392000000000001</v>
      </c>
      <c r="N66" s="143"/>
      <c r="O66" s="81">
        <f>N66*B66</f>
        <v>0</v>
      </c>
      <c r="P66" s="143"/>
      <c r="Q66" s="79">
        <f>P66*B66</f>
        <v>0</v>
      </c>
      <c r="R66" s="142"/>
      <c r="S66" s="79">
        <f>R66*B66</f>
        <v>0</v>
      </c>
      <c r="T66" s="142">
        <v>0.49</v>
      </c>
      <c r="U66" s="79">
        <f>T66*B66</f>
        <v>6.3651</v>
      </c>
      <c r="V66" s="124"/>
      <c r="W66" s="94">
        <f>V66*B66</f>
        <v>0</v>
      </c>
      <c r="X66" s="142"/>
      <c r="Y66" s="81">
        <f>X66*B66</f>
        <v>0</v>
      </c>
      <c r="Z66" s="142"/>
      <c r="AA66" s="81">
        <f>Z66*E66</f>
        <v>0</v>
      </c>
      <c r="AB66" s="142"/>
      <c r="AC66" s="81">
        <f>AB66*G66</f>
        <v>0</v>
      </c>
    </row>
    <row r="67" spans="1:31" x14ac:dyDescent="0.3">
      <c r="A67" s="191" t="s">
        <v>281</v>
      </c>
      <c r="B67" s="182">
        <v>2.4900000000000002</v>
      </c>
      <c r="C67" s="196">
        <f t="shared" si="11"/>
        <v>5.3900000000000006</v>
      </c>
      <c r="D67" s="69"/>
      <c r="E67" s="160">
        <f>D67*B67</f>
        <v>0</v>
      </c>
      <c r="F67" s="130"/>
      <c r="G67" s="157">
        <f>F67*B67</f>
        <v>0</v>
      </c>
      <c r="H67" s="130"/>
      <c r="I67" s="158">
        <f>H67*B67</f>
        <v>0</v>
      </c>
      <c r="J67" s="159"/>
      <c r="K67" s="157">
        <f>J67*B67</f>
        <v>0</v>
      </c>
      <c r="L67" s="130">
        <v>2.89</v>
      </c>
      <c r="M67" s="158">
        <f>L67*B67</f>
        <v>7.1961000000000013</v>
      </c>
      <c r="N67" s="70"/>
      <c r="O67" s="160">
        <f>N67*B67</f>
        <v>0</v>
      </c>
      <c r="P67" s="70"/>
      <c r="Q67" s="156">
        <f>P67*B67</f>
        <v>0</v>
      </c>
      <c r="R67" s="69"/>
      <c r="S67" s="156">
        <f>R67*B67</f>
        <v>0</v>
      </c>
      <c r="T67" s="69">
        <v>1.01</v>
      </c>
      <c r="U67" s="156">
        <f>T67*B67</f>
        <v>2.5149000000000004</v>
      </c>
      <c r="V67" s="161"/>
      <c r="W67" s="157">
        <f>V67*B67</f>
        <v>0</v>
      </c>
      <c r="X67" s="69"/>
      <c r="Y67" s="160">
        <f>X67*B67</f>
        <v>0</v>
      </c>
      <c r="Z67" s="69">
        <v>1.49</v>
      </c>
      <c r="AA67" s="160">
        <f>Z67*B67</f>
        <v>3.7101000000000002</v>
      </c>
      <c r="AB67" s="69"/>
      <c r="AC67" s="160">
        <f>AB67*G67</f>
        <v>0</v>
      </c>
    </row>
    <row r="68" spans="1:31" s="2" customFormat="1" x14ac:dyDescent="0.3">
      <c r="A68" s="230" t="s">
        <v>282</v>
      </c>
      <c r="B68" s="234">
        <v>3.99</v>
      </c>
      <c r="C68" s="203">
        <f t="shared" si="11"/>
        <v>6.65</v>
      </c>
      <c r="D68" s="142"/>
      <c r="E68" s="81">
        <f>D68*B68</f>
        <v>0</v>
      </c>
      <c r="F68" s="126"/>
      <c r="G68" s="94">
        <f>F68*B68</f>
        <v>0</v>
      </c>
      <c r="H68" s="126"/>
      <c r="I68" s="83">
        <f>H68*B68</f>
        <v>0</v>
      </c>
      <c r="J68" s="138"/>
      <c r="K68" s="94">
        <f>J68*B68</f>
        <v>0</v>
      </c>
      <c r="L68" s="126">
        <v>6.65</v>
      </c>
      <c r="M68" s="83">
        <f>L68*B68</f>
        <v>26.533500000000004</v>
      </c>
      <c r="N68" s="143"/>
      <c r="O68" s="81">
        <f>N68*B68</f>
        <v>0</v>
      </c>
      <c r="P68" s="143"/>
      <c r="Q68" s="79">
        <f>P68*B68</f>
        <v>0</v>
      </c>
      <c r="R68" s="142"/>
      <c r="S68" s="79">
        <f>R68*B68</f>
        <v>0</v>
      </c>
      <c r="T68" s="142"/>
      <c r="U68" s="79">
        <f>T68*B68</f>
        <v>0</v>
      </c>
      <c r="V68" s="124"/>
      <c r="W68" s="94">
        <f>V68*B68</f>
        <v>0</v>
      </c>
      <c r="X68" s="142"/>
      <c r="Y68" s="81">
        <f>X68*B68</f>
        <v>0</v>
      </c>
      <c r="Z68" s="142"/>
      <c r="AA68" s="81">
        <f>Z68*E68</f>
        <v>0</v>
      </c>
      <c r="AB68" s="142"/>
      <c r="AC68" s="81">
        <f>AB68*G68</f>
        <v>0</v>
      </c>
    </row>
    <row r="69" spans="1:31" x14ac:dyDescent="0.3">
      <c r="A69" s="192" t="s">
        <v>286</v>
      </c>
      <c r="B69" s="182">
        <v>3.99</v>
      </c>
      <c r="C69" s="196">
        <f t="shared" si="11"/>
        <v>2.9</v>
      </c>
      <c r="D69" s="69">
        <v>1.65</v>
      </c>
      <c r="E69" s="160">
        <f>D69*B69</f>
        <v>6.5834999999999999</v>
      </c>
      <c r="F69" s="130"/>
      <c r="G69" s="157">
        <f>F69*B69</f>
        <v>0</v>
      </c>
      <c r="H69" s="130"/>
      <c r="I69" s="158">
        <f>H69*B69</f>
        <v>0</v>
      </c>
      <c r="J69" s="159"/>
      <c r="K69" s="157">
        <f>J69*B69</f>
        <v>0</v>
      </c>
      <c r="L69" s="130"/>
      <c r="M69" s="158">
        <f>L69*B69</f>
        <v>0</v>
      </c>
      <c r="N69" s="70"/>
      <c r="O69" s="160">
        <f>N69*B69</f>
        <v>0</v>
      </c>
      <c r="P69" s="70"/>
      <c r="Q69" s="156">
        <f>P69*B69</f>
        <v>0</v>
      </c>
      <c r="R69" s="69">
        <v>1.25</v>
      </c>
      <c r="S69" s="156">
        <f>R69*B69</f>
        <v>4.9875000000000007</v>
      </c>
      <c r="T69" s="69"/>
      <c r="U69" s="156">
        <f>T69*B69</f>
        <v>0</v>
      </c>
      <c r="V69" s="161"/>
      <c r="W69" s="157">
        <f>V69*B69</f>
        <v>0</v>
      </c>
      <c r="X69" s="69"/>
      <c r="Y69" s="160">
        <f>X69*B69</f>
        <v>0</v>
      </c>
      <c r="Z69" s="69"/>
      <c r="AA69" s="160">
        <f>Z69*E69</f>
        <v>0</v>
      </c>
      <c r="AB69" s="69"/>
      <c r="AC69" s="160">
        <f>AB69*G69</f>
        <v>0</v>
      </c>
    </row>
    <row r="70" spans="1:31" s="2" customFormat="1" ht="15" thickBot="1" x14ac:dyDescent="0.35">
      <c r="A70" s="231" t="s">
        <v>259</v>
      </c>
      <c r="B70" s="235"/>
      <c r="C70" s="204">
        <f t="shared" si="11"/>
        <v>0</v>
      </c>
      <c r="D70" s="205"/>
      <c r="E70" s="95">
        <f>D70*B70</f>
        <v>0</v>
      </c>
      <c r="F70" s="206"/>
      <c r="G70" s="103">
        <f>F70*B70</f>
        <v>0</v>
      </c>
      <c r="H70" s="206"/>
      <c r="I70" s="207">
        <f>H70*B70</f>
        <v>0</v>
      </c>
      <c r="J70" s="208"/>
      <c r="K70" s="103">
        <v>11.98</v>
      </c>
      <c r="L70" s="206"/>
      <c r="M70" s="207">
        <v>4</v>
      </c>
      <c r="N70" s="209"/>
      <c r="O70" s="95">
        <f>N70*B70</f>
        <v>0</v>
      </c>
      <c r="P70" s="209"/>
      <c r="Q70" s="101">
        <f>P70*B70</f>
        <v>0</v>
      </c>
      <c r="R70" s="205"/>
      <c r="S70" s="101">
        <f>R70*B70</f>
        <v>0</v>
      </c>
      <c r="T70" s="205"/>
      <c r="U70" s="101">
        <f>T70*B70</f>
        <v>0</v>
      </c>
      <c r="V70" s="102"/>
      <c r="W70" s="103">
        <f>V70*B70</f>
        <v>0</v>
      </c>
      <c r="X70" s="205"/>
      <c r="Y70" s="95">
        <f>X70*B70</f>
        <v>0</v>
      </c>
      <c r="Z70" s="205"/>
      <c r="AA70" s="95">
        <f>Z70*E70</f>
        <v>0</v>
      </c>
      <c r="AB70" s="205"/>
      <c r="AC70" s="95">
        <v>11.98</v>
      </c>
    </row>
    <row r="71" spans="1:31" x14ac:dyDescent="0.3">
      <c r="A71" s="177"/>
      <c r="C71" s="198"/>
      <c r="D71" s="176"/>
      <c r="E71" s="176">
        <f>SUM(E46:E70)</f>
        <v>100.89475000000002</v>
      </c>
      <c r="F71" s="176"/>
      <c r="G71" s="176">
        <f>SUM(G46:G70)</f>
        <v>149.00694999999999</v>
      </c>
      <c r="H71" s="176"/>
      <c r="I71" s="176">
        <f>SUM(I46:I70)</f>
        <v>71.64</v>
      </c>
      <c r="J71" s="176"/>
      <c r="K71" s="176">
        <f>SUM(K46:K70)</f>
        <v>78.064050000000009</v>
      </c>
      <c r="L71" s="176"/>
      <c r="M71" s="176">
        <f>SUM(M46:M70)</f>
        <v>163.18615</v>
      </c>
      <c r="N71" s="178"/>
      <c r="O71" s="176">
        <f>SUM(O46:O70)</f>
        <v>107.46</v>
      </c>
      <c r="P71" s="178"/>
      <c r="Q71" s="176">
        <f>SUM(Q46:Q70)</f>
        <v>54.643499999999996</v>
      </c>
      <c r="R71" s="179"/>
      <c r="S71" s="176">
        <f>SUM(S46:S70)</f>
        <v>152.40925000000001</v>
      </c>
      <c r="T71" s="178"/>
      <c r="U71" s="176">
        <f>SUM(U46:U70)</f>
        <v>145.26135000000002</v>
      </c>
      <c r="V71" s="178"/>
      <c r="W71" s="176">
        <f>SUM(W46:W70)</f>
        <v>119.0287</v>
      </c>
      <c r="X71" s="177"/>
      <c r="Y71" s="176">
        <f>SUM(Y46:Y70)</f>
        <v>4.5224500000000001</v>
      </c>
      <c r="Z71" s="177"/>
      <c r="AA71" s="176">
        <f>SUM(AA46:AA70)</f>
        <v>134.4941</v>
      </c>
      <c r="AB71" s="177"/>
      <c r="AC71" s="176">
        <f>SUM(AC46:AC70)</f>
        <v>11.98</v>
      </c>
      <c r="AE71" s="63"/>
    </row>
    <row r="72" spans="1:31" ht="15.6" x14ac:dyDescent="0.3">
      <c r="A72" s="177"/>
      <c r="B72" s="247" t="s">
        <v>287</v>
      </c>
      <c r="C72" s="247"/>
      <c r="D72" s="176"/>
      <c r="E72" s="176">
        <v>80.709999999999994</v>
      </c>
      <c r="F72" s="176"/>
      <c r="G72" s="176">
        <f>G71*0.8</f>
        <v>119.20555999999999</v>
      </c>
      <c r="H72" s="176"/>
      <c r="I72" s="176">
        <f>I71*0.8</f>
        <v>57.312000000000005</v>
      </c>
      <c r="J72" s="176"/>
      <c r="K72" s="176">
        <f>K71*0.8</f>
        <v>62.451240000000013</v>
      </c>
      <c r="L72" s="176"/>
      <c r="M72" s="176">
        <v>130.54</v>
      </c>
      <c r="N72" s="178"/>
      <c r="O72" s="176">
        <f>O71*0.8</f>
        <v>85.968000000000004</v>
      </c>
      <c r="P72" s="178"/>
      <c r="Q72" s="176">
        <f>Q71*0.8</f>
        <v>43.714799999999997</v>
      </c>
      <c r="R72" s="179"/>
      <c r="S72" s="176">
        <v>121.92</v>
      </c>
      <c r="T72" s="178"/>
      <c r="U72" s="176">
        <f>U71*0.8</f>
        <v>116.20908000000003</v>
      </c>
      <c r="V72" s="178"/>
      <c r="W72" s="176">
        <f>W71*0.8</f>
        <v>95.22296</v>
      </c>
      <c r="X72" s="177"/>
      <c r="Y72" s="176">
        <f>Y71*0.8</f>
        <v>3.6179600000000001</v>
      </c>
      <c r="Z72" s="177"/>
      <c r="AA72" s="176">
        <v>107.59</v>
      </c>
      <c r="AB72" s="177"/>
      <c r="AC72" s="176">
        <f>AC71*0.8</f>
        <v>9.5840000000000014</v>
      </c>
      <c r="AE72" s="63"/>
    </row>
    <row r="73" spans="1:31" x14ac:dyDescent="0.3">
      <c r="C73" s="198"/>
    </row>
    <row r="74" spans="1:31" x14ac:dyDescent="0.3">
      <c r="A74" s="65"/>
      <c r="C74" s="198"/>
    </row>
    <row r="75" spans="1:31" x14ac:dyDescent="0.3">
      <c r="C75" s="198"/>
    </row>
    <row r="76" spans="1:31" x14ac:dyDescent="0.3">
      <c r="C76" s="198"/>
    </row>
  </sheetData>
  <mergeCells count="25">
    <mergeCell ref="AB44:AC44"/>
    <mergeCell ref="A44:B44"/>
    <mergeCell ref="B72:C72"/>
    <mergeCell ref="P44:Q44"/>
    <mergeCell ref="R44:S44"/>
    <mergeCell ref="T44:U44"/>
    <mergeCell ref="V44:W44"/>
    <mergeCell ref="X44:Y44"/>
    <mergeCell ref="Z44:AA44"/>
    <mergeCell ref="D44:E44"/>
    <mergeCell ref="F44:G44"/>
    <mergeCell ref="H44:I44"/>
    <mergeCell ref="J44:K44"/>
    <mergeCell ref="L44:M44"/>
    <mergeCell ref="N44:O44"/>
    <mergeCell ref="J2:K2"/>
    <mergeCell ref="H2:I2"/>
    <mergeCell ref="F2:G2"/>
    <mergeCell ref="T2:U2"/>
    <mergeCell ref="L2:M2"/>
    <mergeCell ref="N2:O2"/>
    <mergeCell ref="P2:Q2"/>
    <mergeCell ref="D2:E2"/>
    <mergeCell ref="R2:S2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C42-03AC-4439-ABB8-A7A8B120AAF1}">
  <dimension ref="A1:AE38"/>
  <sheetViews>
    <sheetView zoomScale="68" zoomScaleNormal="68" workbookViewId="0">
      <selection activeCell="A35" sqref="A35"/>
    </sheetView>
  </sheetViews>
  <sheetFormatPr baseColWidth="10" defaultRowHeight="14.4" x14ac:dyDescent="0.3"/>
  <cols>
    <col min="1" max="1" width="24" bestFit="1" customWidth="1"/>
    <col min="2" max="3" width="9.44140625" customWidth="1"/>
    <col min="4" max="4" width="6.88671875" style="77" customWidth="1"/>
    <col min="5" max="5" width="10.77734375" style="77" customWidth="1"/>
    <col min="6" max="6" width="6.88671875" style="77" customWidth="1"/>
    <col min="7" max="7" width="10.77734375" style="77" customWidth="1"/>
    <col min="8" max="8" width="6.88671875" style="77" customWidth="1"/>
    <col min="9" max="9" width="10.77734375" style="77" customWidth="1"/>
    <col min="10" max="10" width="6.88671875" style="77" customWidth="1"/>
    <col min="11" max="11" width="10.77734375" style="77" customWidth="1"/>
    <col min="12" max="12" width="6.88671875" style="77" customWidth="1"/>
    <col min="13" max="13" width="10.77734375" style="77" customWidth="1"/>
    <col min="14" max="14" width="6.88671875" style="77" customWidth="1"/>
    <col min="15" max="15" width="10.77734375" style="77" customWidth="1"/>
    <col min="16" max="16" width="6.88671875" style="77" customWidth="1"/>
    <col min="17" max="17" width="10.77734375" style="77" customWidth="1"/>
    <col min="18" max="18" width="6.88671875" style="77" customWidth="1"/>
    <col min="19" max="19" width="10.77734375" style="77" customWidth="1"/>
    <col min="20" max="20" width="6.88671875" style="77" customWidth="1"/>
    <col min="21" max="21" width="10.77734375" style="77" customWidth="1"/>
    <col min="22" max="22" width="6.88671875" style="77" customWidth="1"/>
    <col min="23" max="23" width="10.77734375" style="77" customWidth="1"/>
    <col min="24" max="24" width="6.88671875" style="77" customWidth="1"/>
    <col min="25" max="25" width="10.77734375" style="77" customWidth="1"/>
    <col min="26" max="26" width="6.88671875" style="77" customWidth="1"/>
    <col min="27" max="27" width="10.77734375" style="77" customWidth="1"/>
    <col min="28" max="28" width="6.88671875" style="77" customWidth="1"/>
    <col min="29" max="29" width="10.77734375" style="77" customWidth="1"/>
    <col min="30" max="30" width="6.88671875" style="77" customWidth="1"/>
    <col min="31" max="31" width="10.77734375" style="77" customWidth="1"/>
  </cols>
  <sheetData>
    <row r="1" spans="1:31" ht="23.4" thickBot="1" x14ac:dyDescent="0.35">
      <c r="A1" s="226" t="s">
        <v>208</v>
      </c>
      <c r="B1" s="227"/>
      <c r="C1" s="224" t="s">
        <v>302</v>
      </c>
      <c r="D1" s="111" t="s">
        <v>238</v>
      </c>
      <c r="E1" s="112"/>
      <c r="F1" s="111" t="s">
        <v>241</v>
      </c>
      <c r="G1" s="112"/>
      <c r="H1" s="111" t="s">
        <v>242</v>
      </c>
      <c r="I1" s="112"/>
      <c r="J1" s="108" t="s">
        <v>244</v>
      </c>
      <c r="K1" s="109"/>
      <c r="L1" s="108" t="s">
        <v>245</v>
      </c>
      <c r="M1" s="122"/>
      <c r="N1" s="111" t="s">
        <v>251</v>
      </c>
      <c r="O1" s="116"/>
      <c r="P1" s="117" t="s">
        <v>256</v>
      </c>
      <c r="Q1" s="118"/>
      <c r="R1" s="119" t="s">
        <v>246</v>
      </c>
      <c r="S1" s="120"/>
      <c r="T1" s="106" t="s">
        <v>249</v>
      </c>
      <c r="U1" s="107"/>
      <c r="V1" s="108" t="s">
        <v>250</v>
      </c>
      <c r="W1" s="109"/>
      <c r="X1" s="106" t="s">
        <v>252</v>
      </c>
      <c r="Y1" s="107"/>
      <c r="Z1" s="106" t="s">
        <v>253</v>
      </c>
      <c r="AA1" s="110"/>
      <c r="AB1" s="111" t="s">
        <v>237</v>
      </c>
      <c r="AC1" s="112"/>
      <c r="AD1" s="108" t="s">
        <v>235</v>
      </c>
      <c r="AE1" s="109"/>
    </row>
    <row r="2" spans="1:31" ht="23.4" thickBot="1" x14ac:dyDescent="0.35">
      <c r="A2" s="228" t="s">
        <v>304</v>
      </c>
      <c r="B2" s="232" t="s">
        <v>303</v>
      </c>
      <c r="C2" s="225" t="s">
        <v>215</v>
      </c>
      <c r="D2" s="113" t="s">
        <v>215</v>
      </c>
      <c r="E2" s="114" t="s">
        <v>220</v>
      </c>
      <c r="F2" s="113" t="s">
        <v>215</v>
      </c>
      <c r="G2" s="115" t="s">
        <v>220</v>
      </c>
      <c r="H2" s="121" t="s">
        <v>215</v>
      </c>
      <c r="I2" s="114" t="s">
        <v>220</v>
      </c>
      <c r="J2" s="113" t="s">
        <v>215</v>
      </c>
      <c r="K2" s="115" t="s">
        <v>220</v>
      </c>
      <c r="L2" s="121" t="s">
        <v>215</v>
      </c>
      <c r="M2" s="114" t="s">
        <v>220</v>
      </c>
      <c r="N2" s="113" t="s">
        <v>215</v>
      </c>
      <c r="O2" s="114" t="s">
        <v>220</v>
      </c>
      <c r="P2" s="113" t="s">
        <v>215</v>
      </c>
      <c r="Q2" s="115" t="s">
        <v>220</v>
      </c>
      <c r="R2" s="121" t="s">
        <v>215</v>
      </c>
      <c r="S2" s="114" t="s">
        <v>220</v>
      </c>
      <c r="T2" s="113" t="s">
        <v>215</v>
      </c>
      <c r="U2" s="114" t="s">
        <v>220</v>
      </c>
      <c r="V2" s="113" t="s">
        <v>215</v>
      </c>
      <c r="W2" s="115" t="s">
        <v>220</v>
      </c>
      <c r="X2" s="113" t="s">
        <v>215</v>
      </c>
      <c r="Y2" s="115" t="s">
        <v>220</v>
      </c>
      <c r="Z2" s="113" t="s">
        <v>215</v>
      </c>
      <c r="AA2" s="115" t="s">
        <v>220</v>
      </c>
      <c r="AB2" s="113" t="s">
        <v>215</v>
      </c>
      <c r="AC2" s="115" t="s">
        <v>220</v>
      </c>
      <c r="AD2" s="113" t="s">
        <v>215</v>
      </c>
      <c r="AE2" s="115" t="s">
        <v>220</v>
      </c>
    </row>
    <row r="3" spans="1:31" s="2" customFormat="1" x14ac:dyDescent="0.3">
      <c r="A3" s="248" t="s">
        <v>216</v>
      </c>
      <c r="B3" s="249">
        <v>11.8835</v>
      </c>
      <c r="C3" s="250">
        <f>SUM(D3+F3+H3+J3+L3+N3+P3+R3+T3+V3+X3+Z3+AB3+AD3)</f>
        <v>123.938</v>
      </c>
      <c r="D3" s="140"/>
      <c r="E3" s="90">
        <f>D3*B3</f>
        <v>0</v>
      </c>
      <c r="F3" s="139">
        <v>41.436</v>
      </c>
      <c r="G3" s="90">
        <f>F3*B3</f>
        <v>492.40470599999998</v>
      </c>
      <c r="H3" s="140"/>
      <c r="I3" s="88">
        <f>H3*B3</f>
        <v>0</v>
      </c>
      <c r="J3" s="139"/>
      <c r="K3" s="88">
        <f>J3*B3</f>
        <v>0</v>
      </c>
      <c r="L3" s="139"/>
      <c r="M3" s="88">
        <f>L3*B3</f>
        <v>0</v>
      </c>
      <c r="N3" s="125">
        <v>41.228000000000002</v>
      </c>
      <c r="O3" s="88">
        <f>N3*B3</f>
        <v>489.93293799999998</v>
      </c>
      <c r="P3" s="139"/>
      <c r="Q3" s="90">
        <f>P3*B3</f>
        <v>0</v>
      </c>
      <c r="R3" s="140"/>
      <c r="S3" s="88">
        <f>R3*B3</f>
        <v>0</v>
      </c>
      <c r="T3" s="141"/>
      <c r="U3" s="90">
        <f>T3*B3</f>
        <v>0</v>
      </c>
      <c r="V3" s="140"/>
      <c r="W3" s="88">
        <f>V3*B3</f>
        <v>0</v>
      </c>
      <c r="X3" s="139">
        <v>41.274000000000001</v>
      </c>
      <c r="Y3" s="88">
        <f>X3*B3</f>
        <v>490.479579</v>
      </c>
      <c r="Z3" s="125"/>
      <c r="AA3" s="90">
        <f>Z3*B3</f>
        <v>0</v>
      </c>
      <c r="AB3" s="140"/>
      <c r="AC3" s="88">
        <f>AB3*B3</f>
        <v>0</v>
      </c>
      <c r="AD3" s="139"/>
      <c r="AE3" s="90">
        <f>AD3*B3</f>
        <v>0</v>
      </c>
    </row>
    <row r="4" spans="1:31" s="2" customFormat="1" x14ac:dyDescent="0.3">
      <c r="A4" s="251" t="s">
        <v>218</v>
      </c>
      <c r="B4" s="234">
        <v>0.28999999999999998</v>
      </c>
      <c r="C4" s="202">
        <f t="shared" ref="C4:C33" si="0">SUM(D4+F4+H4+J4+L4+N4+P4+R4+T4+V4+X4+Z4+AB4+AD4)</f>
        <v>123.938</v>
      </c>
      <c r="D4" s="143"/>
      <c r="E4" s="81">
        <f t="shared" ref="E4:E33" si="1">D4*B4</f>
        <v>0</v>
      </c>
      <c r="F4" s="142">
        <v>41.436</v>
      </c>
      <c r="G4" s="81">
        <f>F4*B4</f>
        <v>12.016439999999999</v>
      </c>
      <c r="H4" s="143"/>
      <c r="I4" s="79">
        <f>H4*B4</f>
        <v>0</v>
      </c>
      <c r="J4" s="142"/>
      <c r="K4" s="79">
        <f t="shared" ref="K4:K30" si="2">J4*B4</f>
        <v>0</v>
      </c>
      <c r="L4" s="142"/>
      <c r="M4" s="79">
        <f t="shared" ref="M4:M33" si="3">L4*B4</f>
        <v>0</v>
      </c>
      <c r="N4" s="133">
        <v>41.228000000000002</v>
      </c>
      <c r="O4" s="94">
        <f t="shared" ref="O4:O33" si="4">N4*B4</f>
        <v>11.95612</v>
      </c>
      <c r="P4" s="142"/>
      <c r="Q4" s="81">
        <f t="shared" ref="Q4:Q33" si="5">P4*B4</f>
        <v>0</v>
      </c>
      <c r="R4" s="143"/>
      <c r="S4" s="79">
        <f>R4*B4</f>
        <v>0</v>
      </c>
      <c r="T4" s="144"/>
      <c r="U4" s="81">
        <f>T4*B4</f>
        <v>0</v>
      </c>
      <c r="V4" s="143"/>
      <c r="W4" s="79">
        <f>V4*B4</f>
        <v>0</v>
      </c>
      <c r="X4" s="142">
        <v>41.274000000000001</v>
      </c>
      <c r="Y4" s="79">
        <f>X4*B4</f>
        <v>11.96946</v>
      </c>
      <c r="Z4" s="126"/>
      <c r="AA4" s="81">
        <f>Z4*B4</f>
        <v>0</v>
      </c>
      <c r="AB4" s="143"/>
      <c r="AC4" s="79">
        <f>AB4*B4</f>
        <v>0</v>
      </c>
      <c r="AD4" s="142"/>
      <c r="AE4" s="81">
        <f>AD4*B4</f>
        <v>0</v>
      </c>
    </row>
    <row r="5" spans="1:31" x14ac:dyDescent="0.3">
      <c r="A5" s="191" t="s">
        <v>239</v>
      </c>
      <c r="B5" s="182">
        <v>25.5</v>
      </c>
      <c r="C5" s="188">
        <f t="shared" si="0"/>
        <v>20.395</v>
      </c>
      <c r="D5" s="70">
        <v>6.2450000000000001</v>
      </c>
      <c r="E5" s="160">
        <f t="shared" si="1"/>
        <v>159.2475</v>
      </c>
      <c r="F5" s="69"/>
      <c r="G5" s="160">
        <f t="shared" ref="G5:G33" si="6">F5*B5</f>
        <v>0</v>
      </c>
      <c r="H5" s="70"/>
      <c r="I5" s="156">
        <f t="shared" ref="I5:I33" si="7">H5*B5</f>
        <v>0</v>
      </c>
      <c r="J5" s="69">
        <v>8.6</v>
      </c>
      <c r="K5" s="156">
        <f>J5*B5</f>
        <v>219.29999999999998</v>
      </c>
      <c r="L5" s="69"/>
      <c r="M5" s="156">
        <f t="shared" si="3"/>
        <v>0</v>
      </c>
      <c r="N5" s="161"/>
      <c r="O5" s="157">
        <f t="shared" si="4"/>
        <v>0</v>
      </c>
      <c r="P5" s="69">
        <v>5.55</v>
      </c>
      <c r="Q5" s="160">
        <f t="shared" si="5"/>
        <v>141.52500000000001</v>
      </c>
      <c r="R5" s="70"/>
      <c r="S5" s="156">
        <f>R5*B5</f>
        <v>0</v>
      </c>
      <c r="T5" s="85"/>
      <c r="U5" s="160">
        <f>T5*B5</f>
        <v>0</v>
      </c>
      <c r="V5" s="70"/>
      <c r="W5" s="156">
        <f>V5*B5</f>
        <v>0</v>
      </c>
      <c r="X5" s="69"/>
      <c r="Y5" s="156">
        <f>X5*B5</f>
        <v>0</v>
      </c>
      <c r="Z5" s="130"/>
      <c r="AA5" s="160">
        <f>Z5*B5</f>
        <v>0</v>
      </c>
      <c r="AB5" s="70"/>
      <c r="AC5" s="156">
        <f>AB5*B5</f>
        <v>0</v>
      </c>
      <c r="AD5" s="69"/>
      <c r="AE5" s="160">
        <f>AD5*B5</f>
        <v>0</v>
      </c>
    </row>
    <row r="6" spans="1:31" s="2" customFormat="1" x14ac:dyDescent="0.3">
      <c r="A6" s="251" t="s">
        <v>257</v>
      </c>
      <c r="B6" s="234">
        <v>27.5</v>
      </c>
      <c r="C6" s="203">
        <f t="shared" si="0"/>
        <v>0.67</v>
      </c>
      <c r="D6" s="143"/>
      <c r="E6" s="81">
        <f t="shared" si="1"/>
        <v>0</v>
      </c>
      <c r="F6" s="142"/>
      <c r="G6" s="81">
        <f t="shared" si="6"/>
        <v>0</v>
      </c>
      <c r="H6" s="143"/>
      <c r="I6" s="79">
        <f t="shared" si="7"/>
        <v>0</v>
      </c>
      <c r="J6" s="142"/>
      <c r="K6" s="79">
        <f>J6*B6</f>
        <v>0</v>
      </c>
      <c r="L6" s="142"/>
      <c r="M6" s="79">
        <f t="shared" si="3"/>
        <v>0</v>
      </c>
      <c r="N6" s="124"/>
      <c r="O6" s="94">
        <f t="shared" si="4"/>
        <v>0</v>
      </c>
      <c r="P6" s="142">
        <v>0.67</v>
      </c>
      <c r="Q6" s="81">
        <f t="shared" si="5"/>
        <v>18.425000000000001</v>
      </c>
      <c r="R6" s="143"/>
      <c r="S6" s="79">
        <f>R6*B6</f>
        <v>0</v>
      </c>
      <c r="T6" s="144"/>
      <c r="U6" s="81">
        <f>T6*B6</f>
        <v>0</v>
      </c>
      <c r="V6" s="143"/>
      <c r="W6" s="79">
        <f>V6*B6</f>
        <v>0</v>
      </c>
      <c r="X6" s="142"/>
      <c r="Y6" s="79">
        <f>X6*B6</f>
        <v>0</v>
      </c>
      <c r="Z6" s="126"/>
      <c r="AA6" s="81">
        <f>Z6*B6</f>
        <v>0</v>
      </c>
      <c r="AB6" s="143"/>
      <c r="AC6" s="79">
        <f>AB6*B6</f>
        <v>0</v>
      </c>
      <c r="AD6" s="142"/>
      <c r="AE6" s="81">
        <f>AD6*B6</f>
        <v>0</v>
      </c>
    </row>
    <row r="7" spans="1:31" x14ac:dyDescent="0.3">
      <c r="A7" s="252" t="s">
        <v>217</v>
      </c>
      <c r="B7" s="182">
        <v>21.5</v>
      </c>
      <c r="C7" s="196">
        <f t="shared" si="0"/>
        <v>12</v>
      </c>
      <c r="D7" s="70"/>
      <c r="E7" s="160">
        <f t="shared" si="1"/>
        <v>0</v>
      </c>
      <c r="F7" s="69"/>
      <c r="G7" s="160">
        <f t="shared" si="6"/>
        <v>0</v>
      </c>
      <c r="H7" s="70"/>
      <c r="I7" s="156">
        <f t="shared" si="7"/>
        <v>0</v>
      </c>
      <c r="J7" s="69"/>
      <c r="K7" s="156">
        <f t="shared" si="2"/>
        <v>0</v>
      </c>
      <c r="L7" s="69">
        <v>5</v>
      </c>
      <c r="M7" s="156">
        <f t="shared" si="3"/>
        <v>107.5</v>
      </c>
      <c r="N7" s="161"/>
      <c r="O7" s="157">
        <f t="shared" si="4"/>
        <v>0</v>
      </c>
      <c r="P7" s="69"/>
      <c r="Q7" s="160">
        <f t="shared" si="5"/>
        <v>0</v>
      </c>
      <c r="R7" s="70"/>
      <c r="S7" s="156">
        <f>R7*B7</f>
        <v>0</v>
      </c>
      <c r="T7" s="85"/>
      <c r="U7" s="160">
        <f>T7*B7</f>
        <v>0</v>
      </c>
      <c r="V7" s="70">
        <v>4</v>
      </c>
      <c r="W7" s="156">
        <f>V7*B7</f>
        <v>86</v>
      </c>
      <c r="X7" s="69"/>
      <c r="Y7" s="156">
        <f>X7*B7</f>
        <v>0</v>
      </c>
      <c r="Z7" s="130">
        <v>3</v>
      </c>
      <c r="AA7" s="160">
        <f>Z7*B7</f>
        <v>64.5</v>
      </c>
      <c r="AB7" s="70"/>
      <c r="AC7" s="156">
        <f>AB7*B7</f>
        <v>0</v>
      </c>
      <c r="AD7" s="69"/>
      <c r="AE7" s="160">
        <f>AD7*B7</f>
        <v>0</v>
      </c>
    </row>
    <row r="8" spans="1:31" s="2" customFormat="1" x14ac:dyDescent="0.3">
      <c r="A8" s="230" t="s">
        <v>209</v>
      </c>
      <c r="B8" s="234">
        <v>7.55</v>
      </c>
      <c r="C8" s="203">
        <f t="shared" si="0"/>
        <v>16</v>
      </c>
      <c r="D8" s="143"/>
      <c r="E8" s="81">
        <f t="shared" si="1"/>
        <v>0</v>
      </c>
      <c r="F8" s="142"/>
      <c r="G8" s="81">
        <f t="shared" si="6"/>
        <v>0</v>
      </c>
      <c r="H8" s="143"/>
      <c r="I8" s="79">
        <f t="shared" si="7"/>
        <v>0</v>
      </c>
      <c r="J8" s="142"/>
      <c r="K8" s="79">
        <f t="shared" si="2"/>
        <v>0</v>
      </c>
      <c r="L8" s="142"/>
      <c r="M8" s="79">
        <f t="shared" si="3"/>
        <v>0</v>
      </c>
      <c r="N8" s="124"/>
      <c r="O8" s="94">
        <f t="shared" si="4"/>
        <v>0</v>
      </c>
      <c r="P8" s="142"/>
      <c r="Q8" s="81">
        <f t="shared" si="5"/>
        <v>0</v>
      </c>
      <c r="R8" s="143">
        <v>8</v>
      </c>
      <c r="S8" s="79">
        <f>R8*B8</f>
        <v>60.4</v>
      </c>
      <c r="T8" s="144"/>
      <c r="U8" s="81">
        <f>T8*B8</f>
        <v>0</v>
      </c>
      <c r="V8" s="143">
        <v>8</v>
      </c>
      <c r="W8" s="79">
        <f>V8*B8</f>
        <v>60.4</v>
      </c>
      <c r="X8" s="142"/>
      <c r="Y8" s="79">
        <f>X8*B8</f>
        <v>0</v>
      </c>
      <c r="Z8" s="126"/>
      <c r="AA8" s="81">
        <f>Z8*B8</f>
        <v>0</v>
      </c>
      <c r="AB8" s="143"/>
      <c r="AC8" s="79">
        <f>AB8*B8</f>
        <v>0</v>
      </c>
      <c r="AD8" s="142"/>
      <c r="AE8" s="81">
        <f>AD8*B8</f>
        <v>0</v>
      </c>
    </row>
    <row r="9" spans="1:31" x14ac:dyDescent="0.3">
      <c r="A9" s="252" t="s">
        <v>211</v>
      </c>
      <c r="B9" s="182">
        <v>6.9</v>
      </c>
      <c r="C9" s="196">
        <f t="shared" si="0"/>
        <v>18</v>
      </c>
      <c r="D9" s="70"/>
      <c r="E9" s="160">
        <f t="shared" si="1"/>
        <v>0</v>
      </c>
      <c r="F9" s="69"/>
      <c r="G9" s="160">
        <f t="shared" si="6"/>
        <v>0</v>
      </c>
      <c r="H9" s="70">
        <v>6</v>
      </c>
      <c r="I9" s="156">
        <f t="shared" si="7"/>
        <v>41.400000000000006</v>
      </c>
      <c r="J9" s="69"/>
      <c r="K9" s="156">
        <f t="shared" si="2"/>
        <v>0</v>
      </c>
      <c r="L9" s="69">
        <v>6</v>
      </c>
      <c r="M9" s="156">
        <f t="shared" si="3"/>
        <v>41.400000000000006</v>
      </c>
      <c r="N9" s="161"/>
      <c r="O9" s="157">
        <f t="shared" si="4"/>
        <v>0</v>
      </c>
      <c r="P9" s="69"/>
      <c r="Q9" s="160">
        <f t="shared" si="5"/>
        <v>0</v>
      </c>
      <c r="R9" s="70"/>
      <c r="S9" s="156">
        <f>R9*B9</f>
        <v>0</v>
      </c>
      <c r="T9" s="85"/>
      <c r="U9" s="160">
        <f>T9*B9</f>
        <v>0</v>
      </c>
      <c r="V9" s="70"/>
      <c r="W9" s="156">
        <f>V9*B9</f>
        <v>0</v>
      </c>
      <c r="X9" s="69"/>
      <c r="Y9" s="156">
        <f>X9*B9</f>
        <v>0</v>
      </c>
      <c r="Z9" s="130">
        <v>6</v>
      </c>
      <c r="AA9" s="160">
        <f>Z9*B9</f>
        <v>41.400000000000006</v>
      </c>
      <c r="AB9" s="70"/>
      <c r="AC9" s="156">
        <f>AB9*B9</f>
        <v>0</v>
      </c>
      <c r="AD9" s="69"/>
      <c r="AE9" s="160">
        <f>AD9*B9</f>
        <v>0</v>
      </c>
    </row>
    <row r="10" spans="1:31" s="2" customFormat="1" x14ac:dyDescent="0.3">
      <c r="A10" s="230" t="s">
        <v>223</v>
      </c>
      <c r="B10" s="234">
        <v>6.1</v>
      </c>
      <c r="C10" s="203">
        <f t="shared" si="0"/>
        <v>48</v>
      </c>
      <c r="D10" s="143"/>
      <c r="E10" s="81">
        <f t="shared" si="1"/>
        <v>0</v>
      </c>
      <c r="F10" s="142"/>
      <c r="G10" s="81">
        <f t="shared" si="6"/>
        <v>0</v>
      </c>
      <c r="H10" s="143"/>
      <c r="I10" s="79">
        <f t="shared" si="7"/>
        <v>0</v>
      </c>
      <c r="J10" s="142"/>
      <c r="K10" s="79">
        <f t="shared" si="2"/>
        <v>0</v>
      </c>
      <c r="L10" s="142"/>
      <c r="M10" s="79">
        <f t="shared" si="3"/>
        <v>0</v>
      </c>
      <c r="N10" s="124"/>
      <c r="O10" s="94">
        <f t="shared" si="4"/>
        <v>0</v>
      </c>
      <c r="P10" s="142"/>
      <c r="Q10" s="81">
        <f t="shared" si="5"/>
        <v>0</v>
      </c>
      <c r="R10" s="143"/>
      <c r="S10" s="79">
        <f>R10*B10</f>
        <v>0</v>
      </c>
      <c r="T10" s="144"/>
      <c r="U10" s="81">
        <f>T10*B10</f>
        <v>0</v>
      </c>
      <c r="V10" s="143"/>
      <c r="W10" s="79">
        <f>V10*B10</f>
        <v>0</v>
      </c>
      <c r="X10" s="142"/>
      <c r="Y10" s="79">
        <f>X10*B10</f>
        <v>0</v>
      </c>
      <c r="Z10" s="126">
        <v>24</v>
      </c>
      <c r="AA10" s="81">
        <f>Z10*B10</f>
        <v>146.39999999999998</v>
      </c>
      <c r="AB10" s="143">
        <v>24</v>
      </c>
      <c r="AC10" s="79">
        <f>AB10*B10</f>
        <v>146.39999999999998</v>
      </c>
      <c r="AD10" s="142"/>
      <c r="AE10" s="81">
        <f>AD10*B10</f>
        <v>0</v>
      </c>
    </row>
    <row r="11" spans="1:31" x14ac:dyDescent="0.3">
      <c r="A11" s="252" t="s">
        <v>210</v>
      </c>
      <c r="B11" s="182">
        <v>35</v>
      </c>
      <c r="C11" s="196">
        <f t="shared" si="0"/>
        <v>2</v>
      </c>
      <c r="D11" s="70"/>
      <c r="E11" s="160">
        <f t="shared" si="1"/>
        <v>0</v>
      </c>
      <c r="F11" s="69">
        <v>1</v>
      </c>
      <c r="G11" s="160">
        <f t="shared" si="6"/>
        <v>35</v>
      </c>
      <c r="H11" s="70"/>
      <c r="I11" s="156">
        <f t="shared" si="7"/>
        <v>0</v>
      </c>
      <c r="J11" s="69"/>
      <c r="K11" s="156">
        <f t="shared" si="2"/>
        <v>0</v>
      </c>
      <c r="L11" s="69"/>
      <c r="M11" s="156">
        <f t="shared" si="3"/>
        <v>0</v>
      </c>
      <c r="N11" s="161"/>
      <c r="O11" s="157">
        <f t="shared" si="4"/>
        <v>0</v>
      </c>
      <c r="P11" s="69"/>
      <c r="Q11" s="160">
        <f t="shared" si="5"/>
        <v>0</v>
      </c>
      <c r="R11" s="70"/>
      <c r="S11" s="156">
        <f>R11*B11</f>
        <v>0</v>
      </c>
      <c r="T11" s="85"/>
      <c r="U11" s="160">
        <f>T11*B11</f>
        <v>0</v>
      </c>
      <c r="V11" s="70"/>
      <c r="W11" s="156">
        <f>V11*B11</f>
        <v>0</v>
      </c>
      <c r="X11" s="69"/>
      <c r="Y11" s="156">
        <f>X11*B11</f>
        <v>0</v>
      </c>
      <c r="Z11" s="130"/>
      <c r="AA11" s="160">
        <f>Z11*B11</f>
        <v>0</v>
      </c>
      <c r="AB11" s="70"/>
      <c r="AC11" s="156">
        <f>AB11*B11</f>
        <v>0</v>
      </c>
      <c r="AD11" s="69">
        <v>1</v>
      </c>
      <c r="AE11" s="160">
        <f>AD11*B11</f>
        <v>35</v>
      </c>
    </row>
    <row r="12" spans="1:31" s="2" customFormat="1" x14ac:dyDescent="0.3">
      <c r="A12" s="230" t="s">
        <v>228</v>
      </c>
      <c r="B12" s="234">
        <v>1.3</v>
      </c>
      <c r="C12" s="203">
        <f t="shared" si="0"/>
        <v>9</v>
      </c>
      <c r="D12" s="143"/>
      <c r="E12" s="81">
        <f t="shared" si="1"/>
        <v>0</v>
      </c>
      <c r="F12" s="142"/>
      <c r="G12" s="81">
        <f t="shared" si="6"/>
        <v>0</v>
      </c>
      <c r="H12" s="143"/>
      <c r="I12" s="79">
        <f t="shared" si="7"/>
        <v>0</v>
      </c>
      <c r="J12" s="142"/>
      <c r="K12" s="79">
        <f>J12*B12</f>
        <v>0</v>
      </c>
      <c r="L12" s="142"/>
      <c r="M12" s="79">
        <f t="shared" si="3"/>
        <v>0</v>
      </c>
      <c r="N12" s="82"/>
      <c r="O12" s="94">
        <f t="shared" si="4"/>
        <v>0</v>
      </c>
      <c r="P12" s="142"/>
      <c r="Q12" s="81">
        <f t="shared" si="5"/>
        <v>0</v>
      </c>
      <c r="R12" s="143"/>
      <c r="S12" s="79">
        <f>R12*B12</f>
        <v>0</v>
      </c>
      <c r="T12" s="144"/>
      <c r="U12" s="81">
        <f>T12*B12</f>
        <v>0</v>
      </c>
      <c r="V12" s="143"/>
      <c r="W12" s="79">
        <f>V12*B12</f>
        <v>0</v>
      </c>
      <c r="X12" s="142"/>
      <c r="Y12" s="79">
        <f>X12*B12</f>
        <v>0</v>
      </c>
      <c r="Z12" s="126">
        <v>9</v>
      </c>
      <c r="AA12" s="81">
        <f>Z12*B12</f>
        <v>11.700000000000001</v>
      </c>
      <c r="AB12" s="143"/>
      <c r="AC12" s="79">
        <f>AB12*B12</f>
        <v>0</v>
      </c>
      <c r="AD12" s="142"/>
      <c r="AE12" s="81">
        <f>AD12*B12</f>
        <v>0</v>
      </c>
    </row>
    <row r="13" spans="1:31" x14ac:dyDescent="0.3">
      <c r="A13" s="252" t="s">
        <v>212</v>
      </c>
      <c r="B13" s="182">
        <v>37.700000000000003</v>
      </c>
      <c r="C13" s="196">
        <f t="shared" si="0"/>
        <v>5</v>
      </c>
      <c r="D13" s="70"/>
      <c r="E13" s="160">
        <f t="shared" si="1"/>
        <v>0</v>
      </c>
      <c r="F13" s="69"/>
      <c r="G13" s="160">
        <f t="shared" si="6"/>
        <v>0</v>
      </c>
      <c r="H13" s="70"/>
      <c r="I13" s="156">
        <f t="shared" si="7"/>
        <v>0</v>
      </c>
      <c r="J13" s="69"/>
      <c r="K13" s="156">
        <f t="shared" si="2"/>
        <v>0</v>
      </c>
      <c r="L13" s="69"/>
      <c r="M13" s="156">
        <f t="shared" si="3"/>
        <v>0</v>
      </c>
      <c r="N13" s="164"/>
      <c r="O13" s="157">
        <f t="shared" si="4"/>
        <v>0</v>
      </c>
      <c r="P13" s="69"/>
      <c r="Q13" s="160">
        <f t="shared" si="5"/>
        <v>0</v>
      </c>
      <c r="R13" s="70"/>
      <c r="S13" s="156">
        <f>R13*B13</f>
        <v>0</v>
      </c>
      <c r="T13" s="85"/>
      <c r="U13" s="160">
        <f>T13*B13</f>
        <v>0</v>
      </c>
      <c r="V13" s="70"/>
      <c r="W13" s="156">
        <f>V13*B13</f>
        <v>0</v>
      </c>
      <c r="X13" s="69"/>
      <c r="Y13" s="156">
        <f>X13*B13</f>
        <v>0</v>
      </c>
      <c r="Z13" s="130">
        <v>3</v>
      </c>
      <c r="AA13" s="160">
        <f>Z13*B13</f>
        <v>113.10000000000001</v>
      </c>
      <c r="AB13" s="70"/>
      <c r="AC13" s="156">
        <f>AB13*B13</f>
        <v>0</v>
      </c>
      <c r="AD13" s="69">
        <v>2</v>
      </c>
      <c r="AE13" s="160">
        <f>AD13*B13</f>
        <v>75.400000000000006</v>
      </c>
    </row>
    <row r="14" spans="1:31" s="2" customFormat="1" x14ac:dyDescent="0.3">
      <c r="A14" s="230" t="s">
        <v>214</v>
      </c>
      <c r="B14" s="234">
        <v>4.45</v>
      </c>
      <c r="C14" s="203">
        <f t="shared" si="0"/>
        <v>24</v>
      </c>
      <c r="D14" s="143"/>
      <c r="E14" s="81">
        <f t="shared" si="1"/>
        <v>0</v>
      </c>
      <c r="F14" s="142"/>
      <c r="G14" s="81">
        <f t="shared" si="6"/>
        <v>0</v>
      </c>
      <c r="H14" s="143">
        <v>12</v>
      </c>
      <c r="I14" s="79">
        <f t="shared" si="7"/>
        <v>53.400000000000006</v>
      </c>
      <c r="J14" s="142"/>
      <c r="K14" s="79">
        <f t="shared" si="2"/>
        <v>0</v>
      </c>
      <c r="L14" s="142"/>
      <c r="M14" s="79">
        <f t="shared" si="3"/>
        <v>0</v>
      </c>
      <c r="N14" s="82"/>
      <c r="O14" s="94">
        <f t="shared" si="4"/>
        <v>0</v>
      </c>
      <c r="P14" s="142"/>
      <c r="Q14" s="81">
        <f t="shared" si="5"/>
        <v>0</v>
      </c>
      <c r="R14" s="143">
        <v>12</v>
      </c>
      <c r="S14" s="79">
        <f>R14*B14</f>
        <v>53.400000000000006</v>
      </c>
      <c r="T14" s="144"/>
      <c r="U14" s="81">
        <f>T14*B14</f>
        <v>0</v>
      </c>
      <c r="V14" s="143"/>
      <c r="W14" s="79">
        <f>V14*B14</f>
        <v>0</v>
      </c>
      <c r="X14" s="142"/>
      <c r="Y14" s="79">
        <f>X14*B14</f>
        <v>0</v>
      </c>
      <c r="Z14" s="126"/>
      <c r="AA14" s="81">
        <f>Z14*B14</f>
        <v>0</v>
      </c>
      <c r="AB14" s="143"/>
      <c r="AC14" s="79">
        <f>AB14*B14</f>
        <v>0</v>
      </c>
      <c r="AD14" s="142"/>
      <c r="AE14" s="81">
        <f>AD14*B14</f>
        <v>0</v>
      </c>
    </row>
    <row r="15" spans="1:31" x14ac:dyDescent="0.3">
      <c r="A15" s="252" t="s">
        <v>224</v>
      </c>
      <c r="B15" s="182">
        <v>3.3</v>
      </c>
      <c r="C15" s="196">
        <f t="shared" si="0"/>
        <v>20</v>
      </c>
      <c r="D15" s="70"/>
      <c r="E15" s="160">
        <f t="shared" si="1"/>
        <v>0</v>
      </c>
      <c r="F15" s="69"/>
      <c r="G15" s="160">
        <f t="shared" si="6"/>
        <v>0</v>
      </c>
      <c r="H15" s="70"/>
      <c r="I15" s="156">
        <f t="shared" si="7"/>
        <v>0</v>
      </c>
      <c r="J15" s="69"/>
      <c r="K15" s="156">
        <f t="shared" si="2"/>
        <v>0</v>
      </c>
      <c r="L15" s="69"/>
      <c r="M15" s="156">
        <f t="shared" si="3"/>
        <v>0</v>
      </c>
      <c r="N15" s="164"/>
      <c r="O15" s="157">
        <f t="shared" si="4"/>
        <v>0</v>
      </c>
      <c r="P15" s="69"/>
      <c r="Q15" s="160">
        <f t="shared" si="5"/>
        <v>0</v>
      </c>
      <c r="R15" s="70"/>
      <c r="S15" s="156">
        <f>R15*B15</f>
        <v>0</v>
      </c>
      <c r="T15" s="85"/>
      <c r="U15" s="160">
        <f>T15*B15</f>
        <v>0</v>
      </c>
      <c r="V15" s="70"/>
      <c r="W15" s="156">
        <f>V15*B15</f>
        <v>0</v>
      </c>
      <c r="X15" s="69"/>
      <c r="Y15" s="156">
        <f>X15*B15</f>
        <v>0</v>
      </c>
      <c r="Z15" s="130"/>
      <c r="AA15" s="160">
        <f>Z15*B15</f>
        <v>0</v>
      </c>
      <c r="AB15" s="70">
        <v>20</v>
      </c>
      <c r="AC15" s="156">
        <f>AB15*B15</f>
        <v>66</v>
      </c>
      <c r="AD15" s="69"/>
      <c r="AE15" s="160">
        <f>AD15*B15</f>
        <v>0</v>
      </c>
    </row>
    <row r="16" spans="1:31" s="2" customFormat="1" x14ac:dyDescent="0.3">
      <c r="A16" s="230" t="s">
        <v>240</v>
      </c>
      <c r="B16" s="234">
        <v>7.9</v>
      </c>
      <c r="C16" s="203">
        <f t="shared" si="0"/>
        <v>1</v>
      </c>
      <c r="D16" s="143">
        <v>1</v>
      </c>
      <c r="E16" s="81">
        <f t="shared" si="1"/>
        <v>7.9</v>
      </c>
      <c r="F16" s="142"/>
      <c r="G16" s="81">
        <f t="shared" si="6"/>
        <v>0</v>
      </c>
      <c r="H16" s="143"/>
      <c r="I16" s="79">
        <f t="shared" si="7"/>
        <v>0</v>
      </c>
      <c r="J16" s="142"/>
      <c r="K16" s="79">
        <f t="shared" si="2"/>
        <v>0</v>
      </c>
      <c r="L16" s="142"/>
      <c r="M16" s="79">
        <f t="shared" si="3"/>
        <v>0</v>
      </c>
      <c r="N16" s="82"/>
      <c r="O16" s="94">
        <f t="shared" si="4"/>
        <v>0</v>
      </c>
      <c r="P16" s="142"/>
      <c r="Q16" s="81">
        <f t="shared" si="5"/>
        <v>0</v>
      </c>
      <c r="R16" s="143"/>
      <c r="S16" s="79">
        <f>R16*B16</f>
        <v>0</v>
      </c>
      <c r="T16" s="144"/>
      <c r="U16" s="81">
        <f>T16*B16</f>
        <v>0</v>
      </c>
      <c r="V16" s="143"/>
      <c r="W16" s="79">
        <f>V16*B16</f>
        <v>0</v>
      </c>
      <c r="X16" s="142"/>
      <c r="Y16" s="79">
        <f>X16*B16</f>
        <v>0</v>
      </c>
      <c r="Z16" s="126"/>
      <c r="AA16" s="81">
        <f>Z16*B16</f>
        <v>0</v>
      </c>
      <c r="AB16" s="143"/>
      <c r="AC16" s="79"/>
      <c r="AD16" s="142"/>
      <c r="AE16" s="81">
        <f>AD16*B16</f>
        <v>0</v>
      </c>
    </row>
    <row r="17" spans="1:31" x14ac:dyDescent="0.3">
      <c r="A17" s="252" t="s">
        <v>225</v>
      </c>
      <c r="B17" s="182">
        <v>5.64</v>
      </c>
      <c r="C17" s="196">
        <f t="shared" si="0"/>
        <v>18</v>
      </c>
      <c r="D17" s="70"/>
      <c r="E17" s="160">
        <f t="shared" si="1"/>
        <v>0</v>
      </c>
      <c r="F17" s="69"/>
      <c r="G17" s="160">
        <f t="shared" si="6"/>
        <v>0</v>
      </c>
      <c r="H17" s="70"/>
      <c r="I17" s="156">
        <f t="shared" si="7"/>
        <v>0</v>
      </c>
      <c r="J17" s="69"/>
      <c r="K17" s="156">
        <f t="shared" si="2"/>
        <v>0</v>
      </c>
      <c r="L17" s="69"/>
      <c r="M17" s="156">
        <f t="shared" si="3"/>
        <v>0</v>
      </c>
      <c r="N17" s="164"/>
      <c r="O17" s="157">
        <f t="shared" si="4"/>
        <v>0</v>
      </c>
      <c r="P17" s="69"/>
      <c r="Q17" s="160">
        <f t="shared" si="5"/>
        <v>0</v>
      </c>
      <c r="R17" s="70">
        <v>6</v>
      </c>
      <c r="S17" s="156">
        <f>R17*B17</f>
        <v>33.839999999999996</v>
      </c>
      <c r="T17" s="85"/>
      <c r="U17" s="160">
        <f>T17*B17</f>
        <v>0</v>
      </c>
      <c r="V17" s="70"/>
      <c r="W17" s="156">
        <f>V17*B17</f>
        <v>0</v>
      </c>
      <c r="X17" s="69"/>
      <c r="Y17" s="156">
        <f>X17*B17</f>
        <v>0</v>
      </c>
      <c r="Z17" s="130">
        <v>6</v>
      </c>
      <c r="AA17" s="160">
        <f>Z17*B17</f>
        <v>33.839999999999996</v>
      </c>
      <c r="AB17" s="70"/>
      <c r="AC17" s="156">
        <f>AB17*B17</f>
        <v>0</v>
      </c>
      <c r="AD17" s="69">
        <v>6</v>
      </c>
      <c r="AE17" s="160">
        <f>AD17*B17</f>
        <v>33.839999999999996</v>
      </c>
    </row>
    <row r="18" spans="1:31" s="2" customFormat="1" x14ac:dyDescent="0.3">
      <c r="A18" s="230" t="s">
        <v>243</v>
      </c>
      <c r="B18" s="234">
        <v>2.25</v>
      </c>
      <c r="C18" s="203">
        <f t="shared" si="0"/>
        <v>12</v>
      </c>
      <c r="D18" s="143"/>
      <c r="E18" s="81">
        <f t="shared" si="1"/>
        <v>0</v>
      </c>
      <c r="F18" s="142"/>
      <c r="G18" s="81">
        <f t="shared" si="6"/>
        <v>0</v>
      </c>
      <c r="H18" s="143">
        <v>12</v>
      </c>
      <c r="I18" s="79">
        <f t="shared" si="7"/>
        <v>27</v>
      </c>
      <c r="J18" s="142"/>
      <c r="K18" s="79">
        <f t="shared" si="2"/>
        <v>0</v>
      </c>
      <c r="L18" s="142"/>
      <c r="M18" s="79">
        <f t="shared" si="3"/>
        <v>0</v>
      </c>
      <c r="N18" s="82"/>
      <c r="O18" s="94">
        <f t="shared" si="4"/>
        <v>0</v>
      </c>
      <c r="P18" s="142"/>
      <c r="Q18" s="81">
        <f t="shared" si="5"/>
        <v>0</v>
      </c>
      <c r="R18" s="143"/>
      <c r="S18" s="79">
        <f>R18*B18</f>
        <v>0</v>
      </c>
      <c r="T18" s="144"/>
      <c r="U18" s="81">
        <f>T18*B18</f>
        <v>0</v>
      </c>
      <c r="V18" s="143"/>
      <c r="W18" s="79">
        <f>V18*B18</f>
        <v>0</v>
      </c>
      <c r="X18" s="142"/>
      <c r="Y18" s="79">
        <f>X18*B18</f>
        <v>0</v>
      </c>
      <c r="Z18" s="126"/>
      <c r="AA18" s="81">
        <f>Z18*B18</f>
        <v>0</v>
      </c>
      <c r="AB18" s="143"/>
      <c r="AC18" s="79">
        <f>AB18*B18</f>
        <v>0</v>
      </c>
      <c r="AD18" s="142"/>
      <c r="AE18" s="81">
        <f>AD18*B18</f>
        <v>0</v>
      </c>
    </row>
    <row r="19" spans="1:31" x14ac:dyDescent="0.3">
      <c r="A19" s="252" t="s">
        <v>226</v>
      </c>
      <c r="B19" s="182">
        <v>27.4</v>
      </c>
      <c r="C19" s="196">
        <f t="shared" si="0"/>
        <v>4</v>
      </c>
      <c r="D19" s="70"/>
      <c r="E19" s="160">
        <f t="shared" si="1"/>
        <v>0</v>
      </c>
      <c r="F19" s="69"/>
      <c r="G19" s="160">
        <f t="shared" si="6"/>
        <v>0</v>
      </c>
      <c r="H19" s="70"/>
      <c r="I19" s="156">
        <f t="shared" si="7"/>
        <v>0</v>
      </c>
      <c r="J19" s="69"/>
      <c r="K19" s="156">
        <f t="shared" si="2"/>
        <v>0</v>
      </c>
      <c r="L19" s="69"/>
      <c r="M19" s="156">
        <f t="shared" si="3"/>
        <v>0</v>
      </c>
      <c r="N19" s="164"/>
      <c r="O19" s="157">
        <f t="shared" si="4"/>
        <v>0</v>
      </c>
      <c r="P19" s="69"/>
      <c r="Q19" s="160">
        <f t="shared" si="5"/>
        <v>0</v>
      </c>
      <c r="R19" s="70">
        <v>2</v>
      </c>
      <c r="S19" s="156">
        <f>R19*B19</f>
        <v>54.8</v>
      </c>
      <c r="T19" s="85"/>
      <c r="U19" s="160">
        <f>T19*B19</f>
        <v>0</v>
      </c>
      <c r="V19" s="70"/>
      <c r="W19" s="156">
        <f>V19*B19</f>
        <v>0</v>
      </c>
      <c r="X19" s="69"/>
      <c r="Y19" s="156">
        <f>X19*B19</f>
        <v>0</v>
      </c>
      <c r="Z19" s="130"/>
      <c r="AA19" s="160">
        <f>Z19*B19</f>
        <v>0</v>
      </c>
      <c r="AB19" s="70">
        <v>2</v>
      </c>
      <c r="AC19" s="156">
        <f>AB19*B19</f>
        <v>54.8</v>
      </c>
      <c r="AD19" s="69"/>
      <c r="AE19" s="160">
        <f>AD19*B19</f>
        <v>0</v>
      </c>
    </row>
    <row r="20" spans="1:31" s="2" customFormat="1" x14ac:dyDescent="0.3">
      <c r="A20" s="230" t="s">
        <v>254</v>
      </c>
      <c r="B20" s="234">
        <v>32.9</v>
      </c>
      <c r="C20" s="203">
        <f t="shared" si="0"/>
        <v>1</v>
      </c>
      <c r="D20" s="143"/>
      <c r="E20" s="81">
        <f t="shared" si="1"/>
        <v>0</v>
      </c>
      <c r="F20" s="142"/>
      <c r="G20" s="81">
        <f t="shared" si="6"/>
        <v>0</v>
      </c>
      <c r="H20" s="143"/>
      <c r="I20" s="79">
        <f t="shared" si="7"/>
        <v>0</v>
      </c>
      <c r="J20" s="142"/>
      <c r="K20" s="79">
        <f t="shared" si="2"/>
        <v>0</v>
      </c>
      <c r="L20" s="142"/>
      <c r="M20" s="79">
        <f t="shared" si="3"/>
        <v>0</v>
      </c>
      <c r="N20" s="82"/>
      <c r="O20" s="94">
        <f t="shared" si="4"/>
        <v>0</v>
      </c>
      <c r="P20" s="142"/>
      <c r="Q20" s="81">
        <f t="shared" si="5"/>
        <v>0</v>
      </c>
      <c r="R20" s="143"/>
      <c r="S20" s="79"/>
      <c r="T20" s="144"/>
      <c r="U20" s="81">
        <f>T20*B20</f>
        <v>0</v>
      </c>
      <c r="V20" s="143"/>
      <c r="W20" s="79">
        <f>V20*B20</f>
        <v>0</v>
      </c>
      <c r="X20" s="142"/>
      <c r="Y20" s="79">
        <f>X20*B20</f>
        <v>0</v>
      </c>
      <c r="Z20" s="126">
        <v>1</v>
      </c>
      <c r="AA20" s="81">
        <f>Z20*B20</f>
        <v>32.9</v>
      </c>
      <c r="AB20" s="143"/>
      <c r="AC20" s="79"/>
      <c r="AD20" s="142"/>
      <c r="AE20" s="81">
        <f>AD20*B20</f>
        <v>0</v>
      </c>
    </row>
    <row r="21" spans="1:31" x14ac:dyDescent="0.3">
      <c r="A21" s="252" t="s">
        <v>229</v>
      </c>
      <c r="B21" s="182">
        <v>3.2</v>
      </c>
      <c r="C21" s="196">
        <f t="shared" si="0"/>
        <v>0</v>
      </c>
      <c r="D21" s="70"/>
      <c r="E21" s="160">
        <f t="shared" si="1"/>
        <v>0</v>
      </c>
      <c r="F21" s="69"/>
      <c r="G21" s="160">
        <f t="shared" si="6"/>
        <v>0</v>
      </c>
      <c r="H21" s="70"/>
      <c r="I21" s="156">
        <f t="shared" si="7"/>
        <v>0</v>
      </c>
      <c r="J21" s="69"/>
      <c r="K21" s="156">
        <f t="shared" si="2"/>
        <v>0</v>
      </c>
      <c r="L21" s="69"/>
      <c r="M21" s="156">
        <f t="shared" si="3"/>
        <v>0</v>
      </c>
      <c r="N21" s="164"/>
      <c r="O21" s="157">
        <f t="shared" si="4"/>
        <v>0</v>
      </c>
      <c r="P21" s="69"/>
      <c r="Q21" s="160">
        <f t="shared" si="5"/>
        <v>0</v>
      </c>
      <c r="R21" s="70"/>
      <c r="S21" s="156">
        <f>R21*B21</f>
        <v>0</v>
      </c>
      <c r="T21" s="85"/>
      <c r="U21" s="160">
        <f>T21*B21</f>
        <v>0</v>
      </c>
      <c r="V21" s="70"/>
      <c r="W21" s="156">
        <f>V21*B21</f>
        <v>0</v>
      </c>
      <c r="X21" s="69"/>
      <c r="Y21" s="156">
        <f>X21*B21</f>
        <v>0</v>
      </c>
      <c r="Z21" s="130"/>
      <c r="AA21" s="160">
        <f>Z21*B21</f>
        <v>0</v>
      </c>
      <c r="AB21" s="70"/>
      <c r="AC21" s="156">
        <f>AB21*B21</f>
        <v>0</v>
      </c>
      <c r="AD21" s="69"/>
      <c r="AE21" s="160">
        <f>AD21*B21</f>
        <v>0</v>
      </c>
    </row>
    <row r="22" spans="1:31" s="2" customFormat="1" x14ac:dyDescent="0.3">
      <c r="A22" s="230" t="s">
        <v>230</v>
      </c>
      <c r="B22" s="234">
        <v>47.9</v>
      </c>
      <c r="C22" s="203">
        <f t="shared" si="0"/>
        <v>2</v>
      </c>
      <c r="D22" s="143"/>
      <c r="E22" s="81">
        <f t="shared" si="1"/>
        <v>0</v>
      </c>
      <c r="F22" s="142"/>
      <c r="G22" s="81">
        <f t="shared" si="6"/>
        <v>0</v>
      </c>
      <c r="H22" s="143"/>
      <c r="I22" s="79">
        <f t="shared" si="7"/>
        <v>0</v>
      </c>
      <c r="J22" s="142"/>
      <c r="K22" s="79">
        <f t="shared" si="2"/>
        <v>0</v>
      </c>
      <c r="L22" s="142"/>
      <c r="M22" s="79">
        <f t="shared" si="3"/>
        <v>0</v>
      </c>
      <c r="N22" s="82"/>
      <c r="O22" s="94">
        <f t="shared" si="4"/>
        <v>0</v>
      </c>
      <c r="P22" s="142"/>
      <c r="Q22" s="81">
        <f t="shared" si="5"/>
        <v>0</v>
      </c>
      <c r="R22" s="143"/>
      <c r="S22" s="79">
        <f>R22*B22</f>
        <v>0</v>
      </c>
      <c r="T22" s="144"/>
      <c r="U22" s="81">
        <f>T22*B22</f>
        <v>0</v>
      </c>
      <c r="V22" s="143"/>
      <c r="W22" s="79">
        <f>V22*B22</f>
        <v>0</v>
      </c>
      <c r="X22" s="142"/>
      <c r="Y22" s="79">
        <f>X22*B22</f>
        <v>0</v>
      </c>
      <c r="Z22" s="126"/>
      <c r="AA22" s="81">
        <f>Z22*B22</f>
        <v>0</v>
      </c>
      <c r="AB22" s="143"/>
      <c r="AC22" s="79">
        <f>AB22*B22</f>
        <v>0</v>
      </c>
      <c r="AD22" s="142">
        <v>2</v>
      </c>
      <c r="AE22" s="81">
        <f>AD22*B22</f>
        <v>95.8</v>
      </c>
    </row>
    <row r="23" spans="1:31" x14ac:dyDescent="0.3">
      <c r="A23" s="252" t="s">
        <v>213</v>
      </c>
      <c r="B23" s="182">
        <v>26.5</v>
      </c>
      <c r="C23" s="196">
        <f t="shared" si="0"/>
        <v>1</v>
      </c>
      <c r="D23" s="70"/>
      <c r="E23" s="160">
        <f t="shared" si="1"/>
        <v>0</v>
      </c>
      <c r="F23" s="69"/>
      <c r="G23" s="160">
        <f t="shared" si="6"/>
        <v>0</v>
      </c>
      <c r="H23" s="70"/>
      <c r="I23" s="156">
        <f t="shared" si="7"/>
        <v>0</v>
      </c>
      <c r="J23" s="69"/>
      <c r="K23" s="156">
        <f t="shared" si="2"/>
        <v>0</v>
      </c>
      <c r="L23" s="69"/>
      <c r="M23" s="156">
        <f t="shared" si="3"/>
        <v>0</v>
      </c>
      <c r="N23" s="164"/>
      <c r="O23" s="157">
        <f t="shared" si="4"/>
        <v>0</v>
      </c>
      <c r="P23" s="69"/>
      <c r="Q23" s="160">
        <f t="shared" si="5"/>
        <v>0</v>
      </c>
      <c r="R23" s="70"/>
      <c r="S23" s="156">
        <f>R23*B23</f>
        <v>0</v>
      </c>
      <c r="T23" s="85"/>
      <c r="U23" s="160">
        <f>T23*B23</f>
        <v>0</v>
      </c>
      <c r="V23" s="70"/>
      <c r="W23" s="156">
        <f>V23*B23</f>
        <v>0</v>
      </c>
      <c r="X23" s="69"/>
      <c r="Y23" s="156">
        <f>X23*B23</f>
        <v>0</v>
      </c>
      <c r="Z23" s="130">
        <v>1</v>
      </c>
      <c r="AA23" s="160">
        <f>Z23*B23</f>
        <v>26.5</v>
      </c>
      <c r="AB23" s="70"/>
      <c r="AC23" s="156">
        <f>AB23*B23</f>
        <v>0</v>
      </c>
      <c r="AD23" s="69"/>
      <c r="AE23" s="160">
        <f>AD23*B23</f>
        <v>0</v>
      </c>
    </row>
    <row r="24" spans="1:31" x14ac:dyDescent="0.3">
      <c r="A24" s="191" t="s">
        <v>219</v>
      </c>
      <c r="B24" s="182">
        <v>1.92</v>
      </c>
      <c r="C24" s="196">
        <f t="shared" si="0"/>
        <v>1</v>
      </c>
      <c r="D24" s="70"/>
      <c r="E24" s="160">
        <f t="shared" si="1"/>
        <v>0</v>
      </c>
      <c r="F24" s="69"/>
      <c r="G24" s="160">
        <f t="shared" si="6"/>
        <v>0</v>
      </c>
      <c r="H24" s="70"/>
      <c r="I24" s="156">
        <f t="shared" si="7"/>
        <v>0</v>
      </c>
      <c r="J24" s="69"/>
      <c r="K24" s="156">
        <f t="shared" ref="K24:K25" si="8">J24*B24</f>
        <v>0</v>
      </c>
      <c r="L24" s="69"/>
      <c r="M24" s="156">
        <f t="shared" ref="M24:M25" si="9">L24*B24</f>
        <v>0</v>
      </c>
      <c r="N24" s="164"/>
      <c r="O24" s="157">
        <f t="shared" ref="O24:O25" si="10">N24*B24</f>
        <v>0</v>
      </c>
      <c r="P24" s="69"/>
      <c r="Q24" s="160">
        <f t="shared" si="5"/>
        <v>0</v>
      </c>
      <c r="R24" s="70"/>
      <c r="S24" s="156">
        <f>R24*B24</f>
        <v>0</v>
      </c>
      <c r="T24" s="85"/>
      <c r="U24" s="160">
        <f>T24*B24</f>
        <v>0</v>
      </c>
      <c r="V24" s="70"/>
      <c r="W24" s="156">
        <f>V24*B24</f>
        <v>0</v>
      </c>
      <c r="X24" s="69"/>
      <c r="Y24" s="156">
        <f>X24*B24</f>
        <v>0</v>
      </c>
      <c r="Z24" s="130">
        <v>1</v>
      </c>
      <c r="AA24" s="160">
        <f>Z24*B24</f>
        <v>1.92</v>
      </c>
      <c r="AB24" s="70"/>
      <c r="AC24" s="156">
        <f>AB24*B24</f>
        <v>0</v>
      </c>
      <c r="AD24" s="69"/>
      <c r="AE24" s="160">
        <f>AD24*B24</f>
        <v>0</v>
      </c>
    </row>
    <row r="25" spans="1:31" s="2" customFormat="1" x14ac:dyDescent="0.3">
      <c r="A25" s="230" t="s">
        <v>255</v>
      </c>
      <c r="B25" s="234">
        <v>25.9</v>
      </c>
      <c r="C25" s="203">
        <f t="shared" si="0"/>
        <v>1</v>
      </c>
      <c r="D25" s="143"/>
      <c r="E25" s="81">
        <f t="shared" si="1"/>
        <v>0</v>
      </c>
      <c r="F25" s="142"/>
      <c r="G25" s="81">
        <f t="shared" si="6"/>
        <v>0</v>
      </c>
      <c r="H25" s="143"/>
      <c r="I25" s="79">
        <f t="shared" si="7"/>
        <v>0</v>
      </c>
      <c r="J25" s="142"/>
      <c r="K25" s="79">
        <f t="shared" si="8"/>
        <v>0</v>
      </c>
      <c r="L25" s="142"/>
      <c r="M25" s="79">
        <f t="shared" si="9"/>
        <v>0</v>
      </c>
      <c r="N25" s="82"/>
      <c r="O25" s="94">
        <f t="shared" si="10"/>
        <v>0</v>
      </c>
      <c r="P25" s="142"/>
      <c r="Q25" s="81">
        <f t="shared" si="5"/>
        <v>0</v>
      </c>
      <c r="R25" s="143"/>
      <c r="S25" s="79">
        <f>R25*B25</f>
        <v>0</v>
      </c>
      <c r="T25" s="144"/>
      <c r="U25" s="81">
        <f>T25*B25</f>
        <v>0</v>
      </c>
      <c r="V25" s="143"/>
      <c r="W25" s="79">
        <f>V25*B25</f>
        <v>0</v>
      </c>
      <c r="X25" s="142"/>
      <c r="Y25" s="79">
        <f>X25*B25</f>
        <v>0</v>
      </c>
      <c r="Z25" s="126">
        <v>1</v>
      </c>
      <c r="AA25" s="81">
        <f>Z25*B25</f>
        <v>25.9</v>
      </c>
      <c r="AB25" s="143"/>
      <c r="AC25" s="79">
        <f>AB25*B25</f>
        <v>0</v>
      </c>
      <c r="AD25" s="142"/>
      <c r="AE25" s="81">
        <f>AD25*B25</f>
        <v>0</v>
      </c>
    </row>
    <row r="26" spans="1:31" s="2" customFormat="1" x14ac:dyDescent="0.3">
      <c r="A26" s="251" t="s">
        <v>219</v>
      </c>
      <c r="B26" s="234">
        <v>2.74</v>
      </c>
      <c r="C26" s="203">
        <f t="shared" si="0"/>
        <v>1</v>
      </c>
      <c r="D26" s="143"/>
      <c r="E26" s="81">
        <f t="shared" si="1"/>
        <v>0</v>
      </c>
      <c r="F26" s="142"/>
      <c r="G26" s="81">
        <f t="shared" si="6"/>
        <v>0</v>
      </c>
      <c r="H26" s="143"/>
      <c r="I26" s="79">
        <f t="shared" si="7"/>
        <v>0</v>
      </c>
      <c r="J26" s="142"/>
      <c r="K26" s="79">
        <f t="shared" si="2"/>
        <v>0</v>
      </c>
      <c r="L26" s="142"/>
      <c r="M26" s="79">
        <f t="shared" si="3"/>
        <v>0</v>
      </c>
      <c r="N26" s="82"/>
      <c r="O26" s="94">
        <f t="shared" si="4"/>
        <v>0</v>
      </c>
      <c r="P26" s="142"/>
      <c r="Q26" s="81">
        <f t="shared" si="5"/>
        <v>0</v>
      </c>
      <c r="R26" s="143"/>
      <c r="S26" s="79">
        <f>R26*B26</f>
        <v>0</v>
      </c>
      <c r="T26" s="144"/>
      <c r="U26" s="81">
        <f>T26*B26</f>
        <v>0</v>
      </c>
      <c r="V26" s="143"/>
      <c r="W26" s="79">
        <f>V26*B26</f>
        <v>0</v>
      </c>
      <c r="X26" s="142"/>
      <c r="Y26" s="79">
        <f>X26*B26</f>
        <v>0</v>
      </c>
      <c r="Z26" s="126">
        <v>1</v>
      </c>
      <c r="AA26" s="81">
        <f>Z26*B26</f>
        <v>2.74</v>
      </c>
      <c r="AB26" s="143"/>
      <c r="AC26" s="79">
        <f>AB26*B26</f>
        <v>0</v>
      </c>
      <c r="AD26" s="142"/>
      <c r="AE26" s="81">
        <f>AD26*B26</f>
        <v>0</v>
      </c>
    </row>
    <row r="27" spans="1:31" x14ac:dyDescent="0.3">
      <c r="A27" s="191" t="s">
        <v>258</v>
      </c>
      <c r="B27" s="182">
        <v>36.4</v>
      </c>
      <c r="C27" s="196">
        <f t="shared" si="0"/>
        <v>1</v>
      </c>
      <c r="D27" s="70"/>
      <c r="E27" s="160">
        <f t="shared" si="1"/>
        <v>0</v>
      </c>
      <c r="F27" s="69"/>
      <c r="G27" s="160">
        <f t="shared" si="6"/>
        <v>0</v>
      </c>
      <c r="H27" s="70"/>
      <c r="I27" s="156">
        <f t="shared" si="7"/>
        <v>0</v>
      </c>
      <c r="J27" s="69"/>
      <c r="K27" s="156">
        <f t="shared" si="2"/>
        <v>0</v>
      </c>
      <c r="L27" s="69"/>
      <c r="M27" s="156">
        <f t="shared" si="3"/>
        <v>0</v>
      </c>
      <c r="N27" s="164"/>
      <c r="O27" s="157">
        <f t="shared" si="4"/>
        <v>0</v>
      </c>
      <c r="P27" s="69">
        <v>1</v>
      </c>
      <c r="Q27" s="160">
        <f t="shared" si="5"/>
        <v>36.4</v>
      </c>
      <c r="R27" s="70"/>
      <c r="S27" s="156">
        <f>R27*B27</f>
        <v>0</v>
      </c>
      <c r="T27" s="85"/>
      <c r="U27" s="160">
        <f>T27*B27</f>
        <v>0</v>
      </c>
      <c r="V27" s="70"/>
      <c r="W27" s="156">
        <f>V27*B27</f>
        <v>0</v>
      </c>
      <c r="X27" s="69"/>
      <c r="Y27" s="156">
        <f>X27*B27</f>
        <v>0</v>
      </c>
      <c r="Z27" s="130"/>
      <c r="AA27" s="160">
        <f>Z27*B27</f>
        <v>0</v>
      </c>
      <c r="AB27" s="70"/>
      <c r="AC27" s="156">
        <f>AB27*B27</f>
        <v>0</v>
      </c>
      <c r="AD27" s="69"/>
      <c r="AE27" s="160">
        <f>AD27*B27</f>
        <v>0</v>
      </c>
    </row>
    <row r="28" spans="1:31" x14ac:dyDescent="0.3">
      <c r="A28" s="191" t="s">
        <v>219</v>
      </c>
      <c r="B28" s="182">
        <v>2.2799999999999998</v>
      </c>
      <c r="C28" s="196">
        <f t="shared" si="0"/>
        <v>1</v>
      </c>
      <c r="D28" s="70"/>
      <c r="E28" s="160">
        <f t="shared" si="1"/>
        <v>0</v>
      </c>
      <c r="F28" s="69"/>
      <c r="G28" s="160">
        <f t="shared" si="6"/>
        <v>0</v>
      </c>
      <c r="H28" s="70"/>
      <c r="I28" s="156">
        <f t="shared" si="7"/>
        <v>0</v>
      </c>
      <c r="J28" s="69"/>
      <c r="K28" s="156">
        <f t="shared" si="2"/>
        <v>0</v>
      </c>
      <c r="L28" s="69"/>
      <c r="M28" s="156">
        <f t="shared" si="3"/>
        <v>0</v>
      </c>
      <c r="N28" s="164"/>
      <c r="O28" s="157">
        <f t="shared" si="4"/>
        <v>0</v>
      </c>
      <c r="P28" s="69">
        <v>1</v>
      </c>
      <c r="Q28" s="160">
        <f t="shared" si="5"/>
        <v>2.2799999999999998</v>
      </c>
      <c r="R28" s="70"/>
      <c r="S28" s="156">
        <f>R28*B28</f>
        <v>0</v>
      </c>
      <c r="T28" s="85"/>
      <c r="U28" s="160">
        <f>T28*B28</f>
        <v>0</v>
      </c>
      <c r="V28" s="70"/>
      <c r="W28" s="156">
        <f>V28*B28</f>
        <v>0</v>
      </c>
      <c r="X28" s="69"/>
      <c r="Y28" s="156">
        <f>X28*B28</f>
        <v>0</v>
      </c>
      <c r="Z28" s="130"/>
      <c r="AA28" s="160">
        <f>Z28*B28</f>
        <v>0</v>
      </c>
      <c r="AB28" s="70"/>
      <c r="AC28" s="156">
        <f>AB28*B28</f>
        <v>0</v>
      </c>
      <c r="AD28" s="69"/>
      <c r="AE28" s="160">
        <f>AD28*B28</f>
        <v>0</v>
      </c>
    </row>
    <row r="29" spans="1:31" s="2" customFormat="1" x14ac:dyDescent="0.3">
      <c r="A29" s="230" t="s">
        <v>221</v>
      </c>
      <c r="B29" s="234">
        <v>16.8</v>
      </c>
      <c r="C29" s="203">
        <f t="shared" si="0"/>
        <v>0</v>
      </c>
      <c r="D29" s="143"/>
      <c r="E29" s="81">
        <f t="shared" si="1"/>
        <v>0</v>
      </c>
      <c r="F29" s="142"/>
      <c r="G29" s="81">
        <f t="shared" si="6"/>
        <v>0</v>
      </c>
      <c r="H29" s="143"/>
      <c r="I29" s="79">
        <f t="shared" si="7"/>
        <v>0</v>
      </c>
      <c r="J29" s="142"/>
      <c r="K29" s="79">
        <f t="shared" si="2"/>
        <v>0</v>
      </c>
      <c r="L29" s="142"/>
      <c r="M29" s="79">
        <f t="shared" si="3"/>
        <v>0</v>
      </c>
      <c r="N29" s="82"/>
      <c r="O29" s="94">
        <f t="shared" si="4"/>
        <v>0</v>
      </c>
      <c r="P29" s="142"/>
      <c r="Q29" s="81">
        <f t="shared" si="5"/>
        <v>0</v>
      </c>
      <c r="R29" s="143"/>
      <c r="S29" s="79">
        <f>R29*B29</f>
        <v>0</v>
      </c>
      <c r="T29" s="144"/>
      <c r="U29" s="81">
        <f>T29*B29</f>
        <v>0</v>
      </c>
      <c r="V29" s="143"/>
      <c r="W29" s="79">
        <f>V29*B29</f>
        <v>0</v>
      </c>
      <c r="X29" s="142"/>
      <c r="Y29" s="79">
        <f>X29*B29</f>
        <v>0</v>
      </c>
      <c r="Z29" s="126"/>
      <c r="AA29" s="81">
        <f>Z29*B29</f>
        <v>0</v>
      </c>
      <c r="AB29" s="143"/>
      <c r="AC29" s="79">
        <f>AB29*B29</f>
        <v>0</v>
      </c>
      <c r="AD29" s="142"/>
      <c r="AE29" s="81">
        <f>AD29*B29</f>
        <v>0</v>
      </c>
    </row>
    <row r="30" spans="1:31" x14ac:dyDescent="0.3">
      <c r="A30" s="252" t="s">
        <v>222</v>
      </c>
      <c r="B30" s="182">
        <v>5.5</v>
      </c>
      <c r="C30" s="196">
        <f t="shared" si="0"/>
        <v>12</v>
      </c>
      <c r="D30" s="70"/>
      <c r="E30" s="160">
        <f t="shared" si="1"/>
        <v>0</v>
      </c>
      <c r="F30" s="69"/>
      <c r="G30" s="160">
        <f t="shared" si="6"/>
        <v>0</v>
      </c>
      <c r="H30" s="70"/>
      <c r="I30" s="156">
        <f t="shared" si="7"/>
        <v>0</v>
      </c>
      <c r="J30" s="69"/>
      <c r="K30" s="156">
        <f t="shared" si="2"/>
        <v>0</v>
      </c>
      <c r="L30" s="69"/>
      <c r="M30" s="156">
        <f t="shared" si="3"/>
        <v>0</v>
      </c>
      <c r="N30" s="164"/>
      <c r="O30" s="157">
        <f t="shared" si="4"/>
        <v>0</v>
      </c>
      <c r="P30" s="69"/>
      <c r="Q30" s="160">
        <f t="shared" si="5"/>
        <v>0</v>
      </c>
      <c r="R30" s="70">
        <v>6</v>
      </c>
      <c r="S30" s="156">
        <f>R30*B30</f>
        <v>33</v>
      </c>
      <c r="T30" s="85"/>
      <c r="U30" s="160">
        <f>T30*B30</f>
        <v>0</v>
      </c>
      <c r="V30" s="70"/>
      <c r="W30" s="156">
        <f>V30*B30</f>
        <v>0</v>
      </c>
      <c r="X30" s="69"/>
      <c r="Y30" s="156">
        <f>X30*B30</f>
        <v>0</v>
      </c>
      <c r="Z30" s="130">
        <v>6</v>
      </c>
      <c r="AA30" s="160">
        <f>Z30*B30</f>
        <v>33</v>
      </c>
      <c r="AB30" s="70"/>
      <c r="AC30" s="156">
        <f>AB30*B30</f>
        <v>0</v>
      </c>
      <c r="AD30" s="69"/>
      <c r="AE30" s="160">
        <f>AD30*B30</f>
        <v>0</v>
      </c>
    </row>
    <row r="31" spans="1:31" s="2" customFormat="1" x14ac:dyDescent="0.3">
      <c r="A31" s="230" t="s">
        <v>247</v>
      </c>
      <c r="B31" s="234">
        <v>5.5</v>
      </c>
      <c r="C31" s="203">
        <f t="shared" si="0"/>
        <v>6</v>
      </c>
      <c r="D31" s="143"/>
      <c r="E31" s="81">
        <f t="shared" si="1"/>
        <v>0</v>
      </c>
      <c r="F31" s="142"/>
      <c r="G31" s="81">
        <f t="shared" si="6"/>
        <v>0</v>
      </c>
      <c r="H31" s="143"/>
      <c r="I31" s="79">
        <f t="shared" si="7"/>
        <v>0</v>
      </c>
      <c r="J31" s="142"/>
      <c r="K31" s="79">
        <f t="shared" ref="K31" si="11">J31*B31</f>
        <v>0</v>
      </c>
      <c r="L31" s="142"/>
      <c r="M31" s="79">
        <f t="shared" si="3"/>
        <v>0</v>
      </c>
      <c r="N31" s="82"/>
      <c r="O31" s="94">
        <f t="shared" si="4"/>
        <v>0</v>
      </c>
      <c r="P31" s="142"/>
      <c r="Q31" s="81">
        <f t="shared" si="5"/>
        <v>0</v>
      </c>
      <c r="R31" s="143">
        <v>6</v>
      </c>
      <c r="S31" s="79">
        <f>R31*B31</f>
        <v>33</v>
      </c>
      <c r="T31" s="144"/>
      <c r="U31" s="81">
        <f>T31*B31</f>
        <v>0</v>
      </c>
      <c r="V31" s="143"/>
      <c r="W31" s="79">
        <f>V31*B31</f>
        <v>0</v>
      </c>
      <c r="X31" s="142"/>
      <c r="Y31" s="79">
        <f>X31*B31</f>
        <v>0</v>
      </c>
      <c r="Z31" s="126"/>
      <c r="AA31" s="81">
        <f>Z31*B31</f>
        <v>0</v>
      </c>
      <c r="AB31" s="143"/>
      <c r="AC31" s="79">
        <f>AB31*B31</f>
        <v>0</v>
      </c>
      <c r="AD31" s="142"/>
      <c r="AE31" s="81">
        <f>AD31*B31</f>
        <v>0</v>
      </c>
    </row>
    <row r="32" spans="1:31" x14ac:dyDescent="0.3">
      <c r="A32" s="252" t="s">
        <v>248</v>
      </c>
      <c r="B32" s="182">
        <v>7.5</v>
      </c>
      <c r="C32" s="196">
        <f t="shared" si="0"/>
        <v>24</v>
      </c>
      <c r="D32" s="70"/>
      <c r="E32" s="160">
        <f t="shared" si="1"/>
        <v>0</v>
      </c>
      <c r="F32" s="69"/>
      <c r="G32" s="160">
        <f t="shared" si="6"/>
        <v>0</v>
      </c>
      <c r="H32" s="70"/>
      <c r="I32" s="156">
        <f t="shared" si="7"/>
        <v>0</v>
      </c>
      <c r="J32" s="69"/>
      <c r="K32" s="156">
        <f t="shared" ref="K32" si="12">J32*B32</f>
        <v>0</v>
      </c>
      <c r="L32" s="69"/>
      <c r="M32" s="156">
        <f t="shared" si="3"/>
        <v>0</v>
      </c>
      <c r="N32" s="164"/>
      <c r="O32" s="157">
        <f t="shared" si="4"/>
        <v>0</v>
      </c>
      <c r="P32" s="69"/>
      <c r="Q32" s="160">
        <f t="shared" si="5"/>
        <v>0</v>
      </c>
      <c r="R32" s="70"/>
      <c r="S32" s="156"/>
      <c r="T32" s="86">
        <v>24</v>
      </c>
      <c r="U32" s="160">
        <f>T32*B32</f>
        <v>180</v>
      </c>
      <c r="V32" s="70"/>
      <c r="W32" s="156">
        <f>V32*B32</f>
        <v>0</v>
      </c>
      <c r="X32" s="69"/>
      <c r="Y32" s="156">
        <f>X32*B32</f>
        <v>0</v>
      </c>
      <c r="Z32" s="130"/>
      <c r="AA32" s="160">
        <f>Z32*B32</f>
        <v>0</v>
      </c>
      <c r="AB32" s="70"/>
      <c r="AC32" s="156">
        <f>AB32*B32</f>
        <v>0</v>
      </c>
      <c r="AD32" s="69"/>
      <c r="AE32" s="160">
        <f>AD32*B32</f>
        <v>0</v>
      </c>
    </row>
    <row r="33" spans="1:31" s="2" customFormat="1" x14ac:dyDescent="0.3">
      <c r="A33" s="230" t="s">
        <v>236</v>
      </c>
      <c r="B33" s="234">
        <v>0.8</v>
      </c>
      <c r="C33" s="203">
        <f t="shared" si="0"/>
        <v>10</v>
      </c>
      <c r="D33" s="146"/>
      <c r="E33" s="99">
        <f t="shared" si="1"/>
        <v>0</v>
      </c>
      <c r="F33" s="145"/>
      <c r="G33" s="99">
        <f t="shared" si="6"/>
        <v>0</v>
      </c>
      <c r="H33" s="146"/>
      <c r="I33" s="97">
        <f t="shared" si="7"/>
        <v>0</v>
      </c>
      <c r="J33" s="145"/>
      <c r="K33" s="97">
        <f t="shared" ref="K33" si="13">J33*B33</f>
        <v>0</v>
      </c>
      <c r="L33" s="145"/>
      <c r="M33" s="97">
        <f t="shared" si="3"/>
        <v>0</v>
      </c>
      <c r="N33" s="100"/>
      <c r="O33" s="81">
        <f t="shared" si="4"/>
        <v>0</v>
      </c>
      <c r="P33" s="145"/>
      <c r="Q33" s="99">
        <f t="shared" si="5"/>
        <v>0</v>
      </c>
      <c r="R33" s="146"/>
      <c r="S33" s="97">
        <f>R33*B33</f>
        <v>0</v>
      </c>
      <c r="T33" s="147"/>
      <c r="U33" s="99">
        <f>T33*B33</f>
        <v>0</v>
      </c>
      <c r="V33" s="146"/>
      <c r="W33" s="97">
        <f>V33*B33</f>
        <v>0</v>
      </c>
      <c r="X33" s="145"/>
      <c r="Y33" s="97">
        <f>X33*B33</f>
        <v>0</v>
      </c>
      <c r="Z33" s="127"/>
      <c r="AA33" s="99">
        <f>Z33*B33</f>
        <v>0</v>
      </c>
      <c r="AB33" s="146"/>
      <c r="AC33" s="97">
        <f>AB33*B33</f>
        <v>0</v>
      </c>
      <c r="AD33" s="145">
        <v>10</v>
      </c>
      <c r="AE33" s="99">
        <f>AD33*B33</f>
        <v>8</v>
      </c>
    </row>
    <row r="34" spans="1:31" ht="15" thickBot="1" x14ac:dyDescent="0.35">
      <c r="A34" s="253" t="s">
        <v>259</v>
      </c>
      <c r="B34" s="183"/>
      <c r="C34" s="197">
        <f>SUM(D34+F34+H34+J34+L34+N34+P34+R34+T34+V34+X34+Z34+AB34+AD34)</f>
        <v>0</v>
      </c>
      <c r="D34" s="75"/>
      <c r="E34" s="172">
        <f t="shared" ref="E34" si="14">D34*B34</f>
        <v>0</v>
      </c>
      <c r="F34" s="73"/>
      <c r="G34" s="172">
        <v>45</v>
      </c>
      <c r="H34" s="75"/>
      <c r="I34" s="168">
        <f t="shared" ref="I34" si="15">H34*B34</f>
        <v>0</v>
      </c>
      <c r="J34" s="73"/>
      <c r="K34" s="168">
        <v>20.2</v>
      </c>
      <c r="L34" s="73"/>
      <c r="M34" s="168">
        <f t="shared" ref="M34" si="16">L34*B34</f>
        <v>0</v>
      </c>
      <c r="N34" s="173"/>
      <c r="O34" s="169">
        <f t="shared" ref="O34" si="17">N34*B34</f>
        <v>0</v>
      </c>
      <c r="P34" s="73"/>
      <c r="Q34" s="172">
        <v>18.48</v>
      </c>
      <c r="R34" s="75"/>
      <c r="S34" s="168"/>
      <c r="T34" s="105"/>
      <c r="U34" s="172">
        <f>T34*B34</f>
        <v>0</v>
      </c>
      <c r="V34" s="75"/>
      <c r="W34" s="168">
        <f>V34*B34</f>
        <v>0</v>
      </c>
      <c r="X34" s="73"/>
      <c r="Y34" s="168">
        <f>X34*B34</f>
        <v>0</v>
      </c>
      <c r="Z34" s="132"/>
      <c r="AA34" s="172">
        <f>Z34*B34</f>
        <v>0</v>
      </c>
      <c r="AB34" s="75"/>
      <c r="AC34" s="168">
        <f>AB34*B34</f>
        <v>0</v>
      </c>
      <c r="AD34" s="73"/>
      <c r="AE34" s="172">
        <f>AD34*B34</f>
        <v>0</v>
      </c>
    </row>
    <row r="35" spans="1:31" x14ac:dyDescent="0.3">
      <c r="B35" s="63"/>
      <c r="C35" s="63"/>
      <c r="D35" s="93"/>
      <c r="E35" s="92">
        <f>SUM(E3:E34)</f>
        <v>167.14750000000001</v>
      </c>
      <c r="F35" s="93"/>
      <c r="G35" s="92">
        <f>SUM(G3:G34)</f>
        <v>584.42114599999991</v>
      </c>
      <c r="H35" s="93"/>
      <c r="I35" s="92">
        <f>SUM(I3:I34)</f>
        <v>121.80000000000001</v>
      </c>
      <c r="J35" s="93"/>
      <c r="K35" s="92">
        <f>SUM(K3:K34)</f>
        <v>239.49999999999997</v>
      </c>
      <c r="L35" s="93"/>
      <c r="M35" s="92">
        <f>SUM(M3:M34)</f>
        <v>148.9</v>
      </c>
      <c r="N35" s="92"/>
      <c r="O35" s="92">
        <f>SUM(O3:O34)</f>
        <v>501.88905799999998</v>
      </c>
      <c r="P35" s="92"/>
      <c r="Q35" s="92">
        <f>SUM(Q3:Q34)</f>
        <v>217.11</v>
      </c>
      <c r="R35" s="93"/>
      <c r="S35" s="92">
        <f>SUM(S3:S34)</f>
        <v>268.44</v>
      </c>
      <c r="T35" s="92"/>
      <c r="U35" s="92">
        <f>SUM(U3:U34)</f>
        <v>180</v>
      </c>
      <c r="V35" s="93"/>
      <c r="W35" s="92">
        <f>SUM(W3:W34)</f>
        <v>146.4</v>
      </c>
      <c r="X35" s="92"/>
      <c r="Y35" s="92">
        <f>SUM(Y3:Y34)</f>
        <v>502.44903900000003</v>
      </c>
      <c r="Z35" s="92"/>
      <c r="AA35" s="92">
        <f>SUM(AA3:AA34)</f>
        <v>533.9</v>
      </c>
      <c r="AB35" s="93"/>
      <c r="AC35" s="92">
        <f>SUM(AC3:AC34)</f>
        <v>267.2</v>
      </c>
      <c r="AD35" s="93"/>
      <c r="AE35" s="92">
        <f>SUM(AE3:AE34)</f>
        <v>248.04000000000002</v>
      </c>
    </row>
    <row r="36" spans="1:31" x14ac:dyDescent="0.3">
      <c r="D36" s="93"/>
      <c r="E36" s="93">
        <v>0</v>
      </c>
      <c r="F36" s="93"/>
      <c r="G36" s="93">
        <v>17.53</v>
      </c>
      <c r="H36" s="93"/>
      <c r="I36" s="93">
        <v>3.65</v>
      </c>
      <c r="J36" s="93"/>
      <c r="K36" s="93">
        <v>0</v>
      </c>
      <c r="L36" s="93"/>
      <c r="M36" s="93">
        <v>4.47</v>
      </c>
      <c r="N36" s="93"/>
      <c r="O36" s="93">
        <v>15.06</v>
      </c>
      <c r="P36" s="93"/>
      <c r="Q36" s="93">
        <v>0</v>
      </c>
      <c r="R36" s="93"/>
      <c r="S36" s="93">
        <v>8.0500000000000007</v>
      </c>
      <c r="T36" s="93"/>
      <c r="U36" s="93">
        <v>5.4</v>
      </c>
      <c r="V36" s="93"/>
      <c r="W36" s="93">
        <v>4.4000000000000004</v>
      </c>
      <c r="X36" s="93"/>
      <c r="Y36" s="93">
        <v>15.07</v>
      </c>
      <c r="Z36" s="93"/>
      <c r="AA36" s="93">
        <v>16.02</v>
      </c>
      <c r="AB36" s="93"/>
      <c r="AC36" s="93">
        <v>8.02</v>
      </c>
      <c r="AD36" s="93"/>
      <c r="AE36" s="93">
        <v>7.44</v>
      </c>
    </row>
    <row r="37" spans="1:31" x14ac:dyDescent="0.3">
      <c r="D37" s="93"/>
      <c r="E37" s="93">
        <f>E35+E36</f>
        <v>167.14750000000001</v>
      </c>
      <c r="F37" s="93"/>
      <c r="G37" s="93">
        <f>G35+G36</f>
        <v>601.95114599999988</v>
      </c>
      <c r="H37" s="93"/>
      <c r="I37" s="93">
        <f>I35+I36</f>
        <v>125.45000000000002</v>
      </c>
      <c r="J37" s="93"/>
      <c r="K37" s="93">
        <f>K35+K36</f>
        <v>239.49999999999997</v>
      </c>
      <c r="L37" s="93"/>
      <c r="M37" s="93">
        <f>M35+M36</f>
        <v>153.37</v>
      </c>
      <c r="N37" s="93"/>
      <c r="O37" s="93">
        <f>O35+O36</f>
        <v>516.94905799999992</v>
      </c>
      <c r="P37" s="93"/>
      <c r="Q37" s="93">
        <f>Q35+Q36</f>
        <v>217.11</v>
      </c>
      <c r="R37" s="93"/>
      <c r="S37" s="93">
        <f>S35+S36</f>
        <v>276.49</v>
      </c>
      <c r="T37" s="93"/>
      <c r="U37" s="93">
        <f>U35+U36</f>
        <v>185.4</v>
      </c>
      <c r="V37" s="93"/>
      <c r="W37" s="93">
        <f>W35+W36</f>
        <v>150.80000000000001</v>
      </c>
      <c r="X37" s="93"/>
      <c r="Y37" s="93">
        <f>Y35+Y36</f>
        <v>517.51903900000002</v>
      </c>
      <c r="Z37" s="93"/>
      <c r="AA37" s="93">
        <f>AA35+AA36</f>
        <v>549.91999999999996</v>
      </c>
      <c r="AB37" s="93"/>
      <c r="AC37" s="93">
        <f>AC35+AC36</f>
        <v>275.21999999999997</v>
      </c>
      <c r="AD37" s="93"/>
      <c r="AE37" s="93">
        <f>AE35+AE36</f>
        <v>255.48000000000002</v>
      </c>
    </row>
    <row r="38" spans="1:31" x14ac:dyDescent="0.3">
      <c r="D38" s="93"/>
      <c r="E38" s="93">
        <v>176.34</v>
      </c>
      <c r="F38" s="93"/>
      <c r="G38" s="93">
        <v>637.61</v>
      </c>
      <c r="H38" s="93"/>
      <c r="I38" s="93">
        <v>132.88</v>
      </c>
      <c r="J38" s="93"/>
      <c r="K38" s="93">
        <v>252.67</v>
      </c>
      <c r="L38" s="93"/>
      <c r="M38" s="93">
        <v>162.44999999999999</v>
      </c>
      <c r="N38" s="93"/>
      <c r="O38" s="93">
        <v>547.55999999999995</v>
      </c>
      <c r="P38" s="93"/>
      <c r="Q38" s="93">
        <v>234.67</v>
      </c>
      <c r="R38" s="93"/>
      <c r="S38" s="93">
        <v>304.43</v>
      </c>
      <c r="T38" s="93"/>
      <c r="U38" s="93">
        <v>222.48</v>
      </c>
      <c r="V38" s="93"/>
      <c r="W38" s="93">
        <v>159.72999999999999</v>
      </c>
      <c r="X38" s="93"/>
      <c r="Y38" s="93">
        <v>548.16</v>
      </c>
      <c r="Z38" s="93"/>
      <c r="AA38" s="93">
        <v>595.54999999999995</v>
      </c>
      <c r="AB38" s="93"/>
      <c r="AC38" s="93">
        <v>291.52</v>
      </c>
      <c r="AD38" s="93"/>
      <c r="AE38" s="93">
        <v>270.61</v>
      </c>
    </row>
  </sheetData>
  <mergeCells count="15">
    <mergeCell ref="N1:O1"/>
    <mergeCell ref="Z1:AA1"/>
    <mergeCell ref="P1:Q1"/>
    <mergeCell ref="A1:B1"/>
    <mergeCell ref="R1:S1"/>
    <mergeCell ref="AB1:AC1"/>
    <mergeCell ref="AD1:AE1"/>
    <mergeCell ref="X1:Y1"/>
    <mergeCell ref="V1:W1"/>
    <mergeCell ref="T1:U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ACHATS 1225</vt:lpstr>
      <vt:lpstr>ACHATS 1125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 HBJO</dc:creator>
  <cp:lastModifiedBy>MEYER HBJO</cp:lastModifiedBy>
  <cp:lastPrinted>2025-10-26T17:02:18Z</cp:lastPrinted>
  <dcterms:created xsi:type="dcterms:W3CDTF">2025-10-20T11:54:50Z</dcterms:created>
  <dcterms:modified xsi:type="dcterms:W3CDTF">2026-01-04T01:05:10Z</dcterms:modified>
</cp:coreProperties>
</file>