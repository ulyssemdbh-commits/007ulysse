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26" sheetId="1" r:id="rId4"/>
    <sheet state="visible" name="Vierge" sheetId="2" r:id="rId5"/>
  </sheets>
  <definedNames/>
  <calcPr/>
  <extLst>
    <ext uri="GoogleSheetsCustomDataVersion2">
      <go:sheetsCustomData xmlns:go="http://customooxmlschemas.google.com/" r:id="rId6" roundtripDataChecksum="0BYHHVPHrDxCk8evkWZJzgXTsvArlR0PESTB6ykHcG8="/>
    </ext>
  </extLst>
</workbook>
</file>

<file path=xl/sharedStrings.xml><?xml version="1.0" encoding="utf-8"?>
<sst xmlns="http://schemas.openxmlformats.org/spreadsheetml/2006/main" count="36" uniqueCount="15">
  <si>
    <t>SUGU Valentine - Journal de Caisse Janvier 2026</t>
  </si>
  <si>
    <t>DATE</t>
  </si>
  <si>
    <t>MODE DE PAIEMENT</t>
  </si>
  <si>
    <t>TOTAL/JOUR</t>
  </si>
  <si>
    <t>Espèces</t>
  </si>
  <si>
    <t>CB</t>
  </si>
  <si>
    <t>CB Zenorder</t>
  </si>
  <si>
    <t>TR</t>
  </si>
  <si>
    <t>CTR</t>
  </si>
  <si>
    <t>Chèque</t>
  </si>
  <si>
    <t>Virement</t>
  </si>
  <si>
    <t>UBER</t>
  </si>
  <si>
    <t>DELIVEROO</t>
  </si>
  <si>
    <t>Total Semaine</t>
  </si>
  <si>
    <t>TOTAL/MOIS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</si>
</sst>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&quot;€&quot;_-;\-* #,##0.00\ &quot;€&quot;_-;_-* &quot;-&quot;??\ &quot;€&quot;_-;_-@"/>
  </numFmts>
  <fonts count="15">
    <font>
      <sz val="11.0"/>
      <color theme="1"/>
      <name val="Aptos Narrow"/>
      <scheme val="minor"/>
    </font>
    <font>
      <sz val="11.0"/>
      <color theme="1"/>
      <name val="Aptos Narrow"/>
    </font>
    <font>
      <b/>
      <sz val="20.0"/>
      <color theme="1"/>
      <name val="Arial"/>
    </font>
    <font/>
    <font>
      <b/>
      <sz val="14.0"/>
      <color theme="1"/>
      <name val="Aptos Narrow"/>
    </font>
    <font>
      <b/>
      <sz val="12.0"/>
      <color theme="1"/>
      <name val="Aptos Narrow"/>
    </font>
    <font>
      <b/>
      <sz val="10.0"/>
      <color theme="1"/>
      <name val="Aptos Narrow"/>
    </font>
    <font>
      <sz val="14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Bahnschrift"/>
    </font>
    <font>
      <color theme="1"/>
      <name val="Arial"/>
    </font>
    <font>
      <color theme="1"/>
      <name val="Aptos Narrow"/>
    </font>
    <font>
      <sz val="10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</fills>
  <borders count="2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1" numFmtId="0" xfId="0" applyFont="1"/>
    <xf borderId="4" fillId="2" fontId="4" numFmtId="0" xfId="0" applyAlignment="1" applyBorder="1" applyFont="1">
      <alignment horizontal="center"/>
    </xf>
    <xf borderId="5" fillId="2" fontId="5" numFmtId="0" xfId="0" applyAlignment="1" applyBorder="1" applyFon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8" fillId="2" fontId="6" numFmtId="0" xfId="0" applyAlignment="1" applyBorder="1" applyFont="1">
      <alignment horizontal="center" vertical="center"/>
    </xf>
    <xf borderId="0" fillId="0" fontId="1" numFmtId="0" xfId="0" applyFont="1"/>
    <xf borderId="0" fillId="0" fontId="7" numFmtId="0" xfId="0" applyFont="1"/>
    <xf borderId="9" fillId="0" fontId="3" numFmtId="0" xfId="0" applyBorder="1" applyFont="1"/>
    <xf borderId="10" fillId="2" fontId="8" numFmtId="0" xfId="0" applyAlignment="1" applyBorder="1" applyFont="1">
      <alignment horizontal="center" vertical="bottom"/>
    </xf>
    <xf borderId="11" fillId="2" fontId="8" numFmtId="0" xfId="0" applyAlignment="1" applyBorder="1" applyFont="1">
      <alignment horizontal="center" vertical="bottom"/>
    </xf>
    <xf borderId="11" fillId="2" fontId="9" numFmtId="0" xfId="0" applyAlignment="1" applyBorder="1" applyFont="1">
      <alignment horizontal="center" vertical="bottom"/>
    </xf>
    <xf borderId="12" fillId="2" fontId="8" numFmtId="0" xfId="0" applyAlignment="1" applyBorder="1" applyFont="1">
      <alignment horizontal="center" vertical="bottom"/>
    </xf>
    <xf borderId="13" fillId="0" fontId="3" numFmtId="0" xfId="0" applyBorder="1" applyFont="1"/>
    <xf borderId="14" fillId="0" fontId="10" numFmtId="16" xfId="0" applyAlignment="1" applyBorder="1" applyFont="1" applyNumberFormat="1">
      <alignment horizontal="center" vertical="center"/>
    </xf>
    <xf borderId="15" fillId="0" fontId="1" numFmtId="164" xfId="0" applyAlignment="1" applyBorder="1" applyFont="1" applyNumberFormat="1">
      <alignment vertical="center"/>
    </xf>
    <xf borderId="16" fillId="0" fontId="1" numFmtId="164" xfId="0" applyAlignment="1" applyBorder="1" applyFont="1" applyNumberFormat="1">
      <alignment vertical="center"/>
    </xf>
    <xf borderId="17" fillId="0" fontId="1" numFmtId="164" xfId="0" applyAlignment="1" applyBorder="1" applyFont="1" applyNumberFormat="1">
      <alignment vertical="center"/>
    </xf>
    <xf borderId="18" fillId="0" fontId="1" numFmtId="164" xfId="0" applyAlignment="1" applyBorder="1" applyFont="1" applyNumberFormat="1">
      <alignment vertical="center"/>
    </xf>
    <xf borderId="14" fillId="0" fontId="1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14" fillId="0" fontId="10" numFmtId="16" xfId="0" applyAlignment="1" applyBorder="1" applyFont="1" applyNumberFormat="1">
      <alignment horizontal="center" readingOrder="0" vertical="center"/>
    </xf>
    <xf borderId="15" fillId="0" fontId="10" numFmtId="164" xfId="0" applyAlignment="1" applyBorder="1" applyFont="1" applyNumberFormat="1">
      <alignment readingOrder="0" vertical="center"/>
    </xf>
    <xf borderId="16" fillId="0" fontId="10" numFmtId="164" xfId="0" applyAlignment="1" applyBorder="1" applyFont="1" applyNumberFormat="1">
      <alignment readingOrder="0" vertical="center"/>
    </xf>
    <xf borderId="17" fillId="0" fontId="10" numFmtId="164" xfId="0" applyAlignment="1" applyBorder="1" applyFont="1" applyNumberFormat="1">
      <alignment readingOrder="0" vertical="center"/>
    </xf>
    <xf borderId="18" fillId="0" fontId="10" numFmtId="164" xfId="0" applyAlignment="1" applyBorder="1" applyFont="1" applyNumberFormat="1">
      <alignment readingOrder="0" vertical="center"/>
    </xf>
    <xf borderId="19" fillId="3" fontId="10" numFmtId="16" xfId="0" applyAlignment="1" applyBorder="1" applyFill="1" applyFont="1" applyNumberFormat="1">
      <alignment horizontal="center" vertical="center"/>
    </xf>
    <xf borderId="15" fillId="3" fontId="10" numFmtId="164" xfId="0" applyAlignment="1" applyBorder="1" applyFont="1" applyNumberFormat="1">
      <alignment readingOrder="0" vertical="center"/>
    </xf>
    <xf borderId="16" fillId="3" fontId="10" numFmtId="164" xfId="0" applyAlignment="1" applyBorder="1" applyFont="1" applyNumberFormat="1">
      <alignment readingOrder="0" vertical="center"/>
    </xf>
    <xf borderId="16" fillId="3" fontId="1" numFmtId="164" xfId="0" applyAlignment="1" applyBorder="1" applyFont="1" applyNumberFormat="1">
      <alignment vertical="center"/>
    </xf>
    <xf borderId="17" fillId="3" fontId="1" numFmtId="164" xfId="0" applyAlignment="1" applyBorder="1" applyFont="1" applyNumberFormat="1">
      <alignment vertical="center"/>
    </xf>
    <xf borderId="17" fillId="3" fontId="10" numFmtId="164" xfId="0" applyAlignment="1" applyBorder="1" applyFont="1" applyNumberFormat="1">
      <alignment readingOrder="0" vertical="center"/>
    </xf>
    <xf borderId="18" fillId="3" fontId="10" numFmtId="164" xfId="0" applyAlignment="1" applyBorder="1" applyFont="1" applyNumberFormat="1">
      <alignment readingOrder="0" vertical="center"/>
    </xf>
    <xf borderId="19" fillId="3" fontId="1" numFmtId="164" xfId="0" applyAlignment="1" applyBorder="1" applyFont="1" applyNumberFormat="1">
      <alignment horizontal="right" vertical="center"/>
    </xf>
    <xf borderId="14" fillId="0" fontId="12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22" fillId="0" fontId="13" numFmtId="164" xfId="0" applyAlignment="1" applyBorder="1" applyFont="1" applyNumberFormat="1">
      <alignment horizontal="center" vertical="center"/>
    </xf>
    <xf borderId="14" fillId="3" fontId="11" numFmtId="164" xfId="0" applyAlignment="1" applyBorder="1" applyFont="1" applyNumberFormat="1">
      <alignment horizontal="center" vertical="center"/>
    </xf>
    <xf borderId="23" fillId="0" fontId="3" numFmtId="0" xfId="0" applyBorder="1" applyFont="1"/>
    <xf borderId="4" fillId="0" fontId="11" numFmtId="164" xfId="0" applyAlignment="1" applyBorder="1" applyFont="1" applyNumberFormat="1">
      <alignment horizontal="center" vertical="center"/>
    </xf>
    <xf borderId="14" fillId="0" fontId="10" numFmtId="164" xfId="0" applyAlignment="1" applyBorder="1" applyFont="1" applyNumberFormat="1">
      <alignment horizontal="center" vertical="center"/>
    </xf>
    <xf borderId="22" fillId="0" fontId="1" numFmtId="164" xfId="0" applyAlignment="1" applyBorder="1" applyFont="1" applyNumberFormat="1">
      <alignment horizontal="center" vertical="center"/>
    </xf>
    <xf borderId="1" fillId="2" fontId="6" numFmtId="16" xfId="0" applyAlignment="1" applyBorder="1" applyFont="1" applyNumberFormat="1">
      <alignment horizontal="center" vertical="center"/>
    </xf>
    <xf borderId="19" fillId="2" fontId="6" numFmtId="164" xfId="0" applyAlignment="1" applyBorder="1" applyFont="1" applyNumberFormat="1">
      <alignment horizontal="center" vertical="center"/>
    </xf>
    <xf borderId="0" fillId="0" fontId="14" numFmtId="164" xfId="0" applyAlignment="1" applyFont="1" applyNumberFormat="1">
      <alignment vertical="center"/>
    </xf>
    <xf borderId="0" fillId="0" fontId="14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5" fillId="3" fontId="1" numFmtId="164" xfId="0" applyAlignment="1" applyBorder="1" applyFont="1" applyNumberFormat="1">
      <alignment vertical="center"/>
    </xf>
    <xf borderId="18" fillId="3" fontId="1" numFmtId="164" xfId="0" applyAlignment="1" applyBorder="1" applyFont="1" applyNumberFormat="1">
      <alignment vertical="center"/>
    </xf>
    <xf borderId="24" fillId="2" fontId="6" numFmtId="164" xfId="0" applyAlignment="1" applyBorder="1" applyFont="1" applyNumberFormat="1">
      <alignment horizontal="center" vertical="center"/>
    </xf>
    <xf borderId="1" fillId="2" fontId="6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11" width="12.38"/>
    <col customWidth="1" min="12" max="12" width="13.25"/>
    <col customWidth="1" min="13" max="25" width="10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4"/>
      <c r="L2" s="5"/>
    </row>
    <row r="3" ht="18.0" customHeight="1">
      <c r="A3" s="6" t="s">
        <v>1</v>
      </c>
      <c r="B3" s="7" t="s">
        <v>2</v>
      </c>
      <c r="C3" s="8"/>
      <c r="D3" s="8"/>
      <c r="E3" s="8"/>
      <c r="F3" s="8"/>
      <c r="G3" s="8"/>
      <c r="H3" s="8"/>
      <c r="I3" s="8"/>
      <c r="J3" s="9"/>
      <c r="K3" s="10" t="s">
        <v>3</v>
      </c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18.0" customHeight="1">
      <c r="A4" s="13"/>
      <c r="B4" s="14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6" t="s">
        <v>11</v>
      </c>
      <c r="J4" s="17" t="s">
        <v>12</v>
      </c>
      <c r="K4" s="18"/>
      <c r="L4" s="5"/>
    </row>
    <row r="5" ht="18.0" customHeight="1">
      <c r="A5" s="19">
        <v>46024.0</v>
      </c>
      <c r="B5" s="20"/>
      <c r="C5" s="21"/>
      <c r="D5" s="21"/>
      <c r="E5" s="21"/>
      <c r="F5" s="21"/>
      <c r="G5" s="21"/>
      <c r="H5" s="22"/>
      <c r="I5" s="22"/>
      <c r="J5" s="23"/>
      <c r="K5" s="24">
        <f t="shared" ref="K5:K34" si="1">SUM(B5:J5)</f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ht="18.0" customHeight="1">
      <c r="A6" s="26">
        <v>46025.0</v>
      </c>
      <c r="B6" s="27">
        <v>99.6</v>
      </c>
      <c r="C6" s="28">
        <v>349.1</v>
      </c>
      <c r="D6" s="21"/>
      <c r="E6" s="21"/>
      <c r="F6" s="21"/>
      <c r="G6" s="21"/>
      <c r="H6" s="22"/>
      <c r="I6" s="29">
        <v>123.4</v>
      </c>
      <c r="J6" s="30">
        <v>18.5</v>
      </c>
      <c r="K6" s="24">
        <f t="shared" si="1"/>
        <v>590.6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ht="18.0" customHeight="1">
      <c r="A7" s="31">
        <v>46026.0</v>
      </c>
      <c r="B7" s="32">
        <v>166.2</v>
      </c>
      <c r="C7" s="33">
        <v>1560.5</v>
      </c>
      <c r="D7" s="33">
        <v>24.5</v>
      </c>
      <c r="E7" s="34"/>
      <c r="F7" s="34"/>
      <c r="G7" s="34"/>
      <c r="H7" s="35"/>
      <c r="I7" s="36">
        <v>362.5</v>
      </c>
      <c r="J7" s="37">
        <v>54.5</v>
      </c>
      <c r="K7" s="38">
        <f t="shared" si="1"/>
        <v>2168.2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ht="18.0" customHeight="1">
      <c r="A8" s="19">
        <v>46027.0</v>
      </c>
      <c r="B8" s="27">
        <v>118.0</v>
      </c>
      <c r="C8" s="28">
        <v>1422.2</v>
      </c>
      <c r="D8" s="21"/>
      <c r="E8" s="21"/>
      <c r="F8" s="21"/>
      <c r="G8" s="21"/>
      <c r="H8" s="22"/>
      <c r="I8" s="29">
        <v>331.0</v>
      </c>
      <c r="J8" s="30">
        <v>51.9</v>
      </c>
      <c r="K8" s="24">
        <f t="shared" si="1"/>
        <v>1923.1</v>
      </c>
      <c r="L8" s="39" t="s">
        <v>13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ht="18.0" customHeight="1">
      <c r="A9" s="19">
        <v>46028.0</v>
      </c>
      <c r="B9" s="27">
        <v>119.9</v>
      </c>
      <c r="C9" s="28">
        <v>1597.5</v>
      </c>
      <c r="D9" s="28">
        <v>25.5</v>
      </c>
      <c r="E9" s="28">
        <v>77.0</v>
      </c>
      <c r="F9" s="21"/>
      <c r="G9" s="21"/>
      <c r="H9" s="22"/>
      <c r="I9" s="29">
        <v>186.6</v>
      </c>
      <c r="J9" s="30">
        <v>37.5</v>
      </c>
      <c r="K9" s="24">
        <f t="shared" si="1"/>
        <v>2044</v>
      </c>
      <c r="L9" s="40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ht="18.0" customHeight="1">
      <c r="A10" s="19">
        <v>46029.0</v>
      </c>
      <c r="B10" s="27">
        <v>145.6</v>
      </c>
      <c r="C10" s="28">
        <v>1434.3</v>
      </c>
      <c r="D10" s="21"/>
      <c r="E10" s="28">
        <v>67.7</v>
      </c>
      <c r="F10" s="21"/>
      <c r="G10" s="21"/>
      <c r="H10" s="22"/>
      <c r="I10" s="29">
        <v>255.1</v>
      </c>
      <c r="J10" s="23"/>
      <c r="K10" s="24">
        <f t="shared" si="1"/>
        <v>1902.7</v>
      </c>
      <c r="L10" s="41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ht="18.0" customHeight="1">
      <c r="A11" s="19">
        <v>46030.0</v>
      </c>
      <c r="B11" s="27">
        <v>104.4</v>
      </c>
      <c r="C11" s="28">
        <v>1541.9</v>
      </c>
      <c r="D11" s="21"/>
      <c r="E11" s="21"/>
      <c r="F11" s="21"/>
      <c r="G11" s="21"/>
      <c r="H11" s="22"/>
      <c r="I11" s="29">
        <v>169.5</v>
      </c>
      <c r="J11" s="30">
        <v>25.5</v>
      </c>
      <c r="K11" s="24">
        <f t="shared" si="1"/>
        <v>1841.3</v>
      </c>
      <c r="L11" s="42">
        <f>SUM(K8:K14)</f>
        <v>12938.67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ht="18.0" customHeight="1">
      <c r="A12" s="19">
        <v>46031.0</v>
      </c>
      <c r="B12" s="27">
        <v>85.39</v>
      </c>
      <c r="C12" s="28">
        <v>670.88</v>
      </c>
      <c r="D12" s="21"/>
      <c r="E12" s="28">
        <v>9.9</v>
      </c>
      <c r="F12" s="21"/>
      <c r="G12" s="21"/>
      <c r="H12" s="22"/>
      <c r="I12" s="29">
        <v>62.5</v>
      </c>
      <c r="J12" s="30">
        <v>16.5</v>
      </c>
      <c r="K12" s="24">
        <f t="shared" si="1"/>
        <v>845.17</v>
      </c>
      <c r="L12" s="40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ht="18.0" customHeight="1">
      <c r="A13" s="26">
        <v>46032.0</v>
      </c>
      <c r="B13" s="27">
        <v>100.2</v>
      </c>
      <c r="C13" s="28">
        <v>1305.5</v>
      </c>
      <c r="D13" s="21"/>
      <c r="E13" s="21"/>
      <c r="F13" s="21"/>
      <c r="G13" s="21"/>
      <c r="H13" s="22"/>
      <c r="I13" s="29">
        <v>302.1</v>
      </c>
      <c r="J13" s="23"/>
      <c r="K13" s="24">
        <f t="shared" si="1"/>
        <v>1707.8</v>
      </c>
      <c r="L13" s="40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ht="18.0" customHeight="1">
      <c r="A14" s="31">
        <v>46033.0</v>
      </c>
      <c r="B14" s="32">
        <v>140.9</v>
      </c>
      <c r="C14" s="33">
        <v>1817.0</v>
      </c>
      <c r="D14" s="33">
        <v>147.3</v>
      </c>
      <c r="E14" s="33">
        <v>66.0</v>
      </c>
      <c r="F14" s="34"/>
      <c r="G14" s="34"/>
      <c r="H14" s="35"/>
      <c r="I14" s="36">
        <v>463.5</v>
      </c>
      <c r="J14" s="37">
        <v>39.9</v>
      </c>
      <c r="K14" s="43">
        <f t="shared" si="1"/>
        <v>2674.6</v>
      </c>
      <c r="L14" s="44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ht="18.0" customHeight="1">
      <c r="A15" s="19">
        <v>46034.0</v>
      </c>
      <c r="B15" s="27">
        <v>142.15</v>
      </c>
      <c r="C15" s="28">
        <v>1212.55</v>
      </c>
      <c r="D15" s="21"/>
      <c r="E15" s="28">
        <v>30.0</v>
      </c>
      <c r="F15" s="21"/>
      <c r="G15" s="21"/>
      <c r="H15" s="22"/>
      <c r="I15" s="29">
        <v>311.0</v>
      </c>
      <c r="J15" s="30">
        <v>69.5</v>
      </c>
      <c r="K15" s="24">
        <f t="shared" si="1"/>
        <v>1765.2</v>
      </c>
      <c r="L15" s="39" t="s">
        <v>13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ht="18.0" customHeight="1">
      <c r="A16" s="19">
        <v>46035.0</v>
      </c>
      <c r="B16" s="27">
        <v>64.1</v>
      </c>
      <c r="C16" s="28">
        <v>1386.2</v>
      </c>
      <c r="D16" s="21"/>
      <c r="E16" s="21"/>
      <c r="F16" s="21"/>
      <c r="G16" s="21"/>
      <c r="H16" s="22"/>
      <c r="I16" s="29">
        <v>116.3</v>
      </c>
      <c r="J16" s="30">
        <v>37.4</v>
      </c>
      <c r="K16" s="24">
        <f t="shared" si="1"/>
        <v>1604</v>
      </c>
      <c r="L16" s="40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ht="18.0" customHeight="1">
      <c r="A17" s="19">
        <v>46036.0</v>
      </c>
      <c r="B17" s="27">
        <v>129.4</v>
      </c>
      <c r="C17" s="28">
        <v>1177.8</v>
      </c>
      <c r="D17" s="21"/>
      <c r="E17" s="28">
        <v>24.0</v>
      </c>
      <c r="F17" s="21"/>
      <c r="G17" s="21"/>
      <c r="H17" s="22"/>
      <c r="I17" s="29">
        <v>290.8</v>
      </c>
      <c r="J17" s="23"/>
      <c r="K17" s="24">
        <f t="shared" si="1"/>
        <v>1622</v>
      </c>
      <c r="L17" s="41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ht="18.0" customHeight="1">
      <c r="A18" s="19">
        <v>46037.0</v>
      </c>
      <c r="B18" s="27">
        <v>-10.9</v>
      </c>
      <c r="C18" s="28">
        <v>2983.4</v>
      </c>
      <c r="D18" s="21"/>
      <c r="E18" s="21"/>
      <c r="F18" s="21"/>
      <c r="G18" s="21"/>
      <c r="H18" s="22"/>
      <c r="I18" s="29">
        <v>214.8</v>
      </c>
      <c r="J18" s="30">
        <v>41.5</v>
      </c>
      <c r="K18" s="24">
        <f t="shared" si="1"/>
        <v>3228.8</v>
      </c>
      <c r="L18" s="42">
        <f>SUM(K15:K21)</f>
        <v>13161.9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ht="18.0" customHeight="1">
      <c r="A19" s="19">
        <v>46038.0</v>
      </c>
      <c r="B19" s="27">
        <v>-2.6</v>
      </c>
      <c r="C19" s="28">
        <v>450.5</v>
      </c>
      <c r="D19" s="21"/>
      <c r="E19" s="28">
        <v>38.4</v>
      </c>
      <c r="F19" s="21"/>
      <c r="G19" s="21"/>
      <c r="H19" s="22"/>
      <c r="I19" s="29">
        <v>91.4</v>
      </c>
      <c r="J19" s="23"/>
      <c r="K19" s="24">
        <f t="shared" si="1"/>
        <v>577.7</v>
      </c>
      <c r="L19" s="40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ht="18.0" customHeight="1">
      <c r="A20" s="26">
        <v>46039.0</v>
      </c>
      <c r="B20" s="27">
        <v>165.2</v>
      </c>
      <c r="C20" s="28">
        <v>826.4</v>
      </c>
      <c r="D20" s="21"/>
      <c r="E20" s="21"/>
      <c r="F20" s="21"/>
      <c r="G20" s="21"/>
      <c r="H20" s="22"/>
      <c r="I20" s="29">
        <v>171.0</v>
      </c>
      <c r="J20" s="23"/>
      <c r="K20" s="24">
        <f t="shared" si="1"/>
        <v>1162.6</v>
      </c>
      <c r="L20" s="40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ht="18.0" customHeight="1">
      <c r="A21" s="31">
        <v>46040.0</v>
      </c>
      <c r="B21" s="32">
        <v>466.3</v>
      </c>
      <c r="C21" s="33">
        <v>1966.3</v>
      </c>
      <c r="D21" s="33">
        <v>212.8</v>
      </c>
      <c r="E21" s="34"/>
      <c r="F21" s="34"/>
      <c r="G21" s="34"/>
      <c r="H21" s="35"/>
      <c r="I21" s="36">
        <v>433.7</v>
      </c>
      <c r="J21" s="37">
        <v>122.5</v>
      </c>
      <c r="K21" s="43">
        <f t="shared" si="1"/>
        <v>3201.6</v>
      </c>
      <c r="L21" s="44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ht="18.0" customHeight="1">
      <c r="A22" s="19">
        <v>46041.0</v>
      </c>
      <c r="B22" s="27">
        <v>202.8</v>
      </c>
      <c r="C22" s="28">
        <v>871.3</v>
      </c>
      <c r="D22" s="21"/>
      <c r="E22" s="21"/>
      <c r="F22" s="21"/>
      <c r="G22" s="21"/>
      <c r="H22" s="22"/>
      <c r="I22" s="29">
        <v>253.4</v>
      </c>
      <c r="J22" s="30">
        <v>41.0</v>
      </c>
      <c r="K22" s="24">
        <f t="shared" si="1"/>
        <v>1368.5</v>
      </c>
      <c r="L22" s="39" t="s">
        <v>13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ht="18.0" customHeight="1">
      <c r="A23" s="19">
        <v>46042.0</v>
      </c>
      <c r="B23" s="27">
        <v>112.5</v>
      </c>
      <c r="C23" s="28">
        <v>1503.8</v>
      </c>
      <c r="D23" s="21"/>
      <c r="E23" s="28">
        <v>56.9</v>
      </c>
      <c r="F23" s="21"/>
      <c r="G23" s="21"/>
      <c r="H23" s="22"/>
      <c r="I23" s="29">
        <v>228.8</v>
      </c>
      <c r="J23" s="30">
        <v>136.3</v>
      </c>
      <c r="K23" s="24">
        <f t="shared" si="1"/>
        <v>2038.3</v>
      </c>
      <c r="L23" s="40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ht="18.0" customHeight="1">
      <c r="A24" s="19">
        <v>46043.0</v>
      </c>
      <c r="B24" s="27">
        <v>64.4</v>
      </c>
      <c r="C24" s="28">
        <v>2112.0</v>
      </c>
      <c r="D24" s="21"/>
      <c r="E24" s="21"/>
      <c r="F24" s="21"/>
      <c r="G24" s="21"/>
      <c r="H24" s="22"/>
      <c r="I24" s="29">
        <v>86.0</v>
      </c>
      <c r="J24" s="23"/>
      <c r="K24" s="24">
        <f t="shared" si="1"/>
        <v>2262.4</v>
      </c>
      <c r="L24" s="41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ht="18.0" customHeight="1">
      <c r="A25" s="19">
        <v>46044.0</v>
      </c>
      <c r="B25" s="27">
        <v>313.1</v>
      </c>
      <c r="C25" s="28">
        <v>1510.0</v>
      </c>
      <c r="D25" s="21"/>
      <c r="E25" s="28">
        <v>123.5</v>
      </c>
      <c r="F25" s="21"/>
      <c r="G25" s="21"/>
      <c r="H25" s="22"/>
      <c r="I25" s="29">
        <v>298.8</v>
      </c>
      <c r="J25" s="30">
        <v>46.4</v>
      </c>
      <c r="K25" s="24">
        <f t="shared" si="1"/>
        <v>2291.8</v>
      </c>
      <c r="L25" s="42">
        <f>SUM(K22:K28)</f>
        <v>12531.9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ht="18.0" customHeight="1">
      <c r="A26" s="19">
        <v>46045.0</v>
      </c>
      <c r="B26" s="27">
        <v>35.5</v>
      </c>
      <c r="C26" s="28">
        <v>554.5</v>
      </c>
      <c r="D26" s="21"/>
      <c r="E26" s="28">
        <v>105.1</v>
      </c>
      <c r="F26" s="21"/>
      <c r="G26" s="21"/>
      <c r="H26" s="22"/>
      <c r="I26" s="29">
        <v>193.8</v>
      </c>
      <c r="J26" s="30">
        <v>33.0</v>
      </c>
      <c r="K26" s="24">
        <f t="shared" si="1"/>
        <v>921.9</v>
      </c>
      <c r="L26" s="40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ht="18.0" customHeight="1">
      <c r="A27" s="26">
        <v>46046.0</v>
      </c>
      <c r="B27" s="27">
        <v>94.5</v>
      </c>
      <c r="C27" s="28">
        <v>989.6</v>
      </c>
      <c r="D27" s="28">
        <v>70.5</v>
      </c>
      <c r="E27" s="28">
        <v>43.0</v>
      </c>
      <c r="F27" s="21"/>
      <c r="G27" s="21"/>
      <c r="H27" s="22"/>
      <c r="I27" s="29">
        <v>243.8</v>
      </c>
      <c r="J27" s="23"/>
      <c r="K27" s="24">
        <f t="shared" si="1"/>
        <v>1441.4</v>
      </c>
      <c r="L27" s="40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ht="18.0" customHeight="1">
      <c r="A28" s="31">
        <v>46047.0</v>
      </c>
      <c r="B28" s="32">
        <v>119.7</v>
      </c>
      <c r="C28" s="33">
        <v>1610.4</v>
      </c>
      <c r="D28" s="33">
        <v>90.0</v>
      </c>
      <c r="E28" s="34"/>
      <c r="F28" s="34"/>
      <c r="G28" s="34"/>
      <c r="H28" s="35"/>
      <c r="I28" s="36">
        <v>313.5</v>
      </c>
      <c r="J28" s="37">
        <v>74.0</v>
      </c>
      <c r="K28" s="43">
        <f t="shared" si="1"/>
        <v>2207.6</v>
      </c>
      <c r="L28" s="44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ht="18.0" customHeight="1">
      <c r="A29" s="19">
        <v>46048.0</v>
      </c>
      <c r="B29" s="27">
        <v>-2.5</v>
      </c>
      <c r="C29" s="28">
        <v>954.7</v>
      </c>
      <c r="D29" s="21"/>
      <c r="E29" s="21"/>
      <c r="F29" s="21"/>
      <c r="G29" s="21"/>
      <c r="H29" s="22"/>
      <c r="I29" s="29">
        <v>287.6</v>
      </c>
      <c r="J29" s="30">
        <v>26.4</v>
      </c>
      <c r="K29" s="45">
        <f t="shared" si="1"/>
        <v>1266.2</v>
      </c>
      <c r="L29" s="46" t="s">
        <v>13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ht="18.0" customHeight="1">
      <c r="A30" s="19">
        <v>46049.0</v>
      </c>
      <c r="B30" s="27">
        <v>138.5</v>
      </c>
      <c r="C30" s="28">
        <v>1004.2</v>
      </c>
      <c r="D30" s="28">
        <v>25.4</v>
      </c>
      <c r="E30" s="21"/>
      <c r="F30" s="21"/>
      <c r="G30" s="21"/>
      <c r="H30" s="22"/>
      <c r="I30" s="29">
        <v>99.9</v>
      </c>
      <c r="J30" s="23"/>
      <c r="K30" s="45">
        <f t="shared" si="1"/>
        <v>1268</v>
      </c>
      <c r="L30" s="40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ht="18.0" customHeight="1">
      <c r="A31" s="19">
        <v>46050.0</v>
      </c>
      <c r="B31" s="27">
        <v>42.5</v>
      </c>
      <c r="C31" s="28">
        <v>1104.3</v>
      </c>
      <c r="D31" s="21"/>
      <c r="E31" s="28">
        <v>19.2</v>
      </c>
      <c r="F31" s="21"/>
      <c r="G31" s="21"/>
      <c r="H31" s="22"/>
      <c r="I31" s="29">
        <v>185.2</v>
      </c>
      <c r="J31" s="30">
        <v>93.5</v>
      </c>
      <c r="K31" s="45">
        <f t="shared" si="1"/>
        <v>1444.7</v>
      </c>
      <c r="L31" s="40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ht="18.0" customHeight="1">
      <c r="A32" s="19">
        <v>46051.0</v>
      </c>
      <c r="B32" s="27">
        <v>122.04</v>
      </c>
      <c r="C32" s="28">
        <v>1590.06</v>
      </c>
      <c r="D32" s="21"/>
      <c r="E32" s="21"/>
      <c r="F32" s="21"/>
      <c r="G32" s="21"/>
      <c r="H32" s="22"/>
      <c r="I32" s="29">
        <v>219.1</v>
      </c>
      <c r="J32" s="23"/>
      <c r="K32" s="45">
        <f t="shared" si="1"/>
        <v>1931.2</v>
      </c>
      <c r="L32" s="47">
        <f>SUM(K29:K34)</f>
        <v>7797.8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ht="18.0" customHeight="1">
      <c r="A33" s="19">
        <v>46052.0</v>
      </c>
      <c r="B33" s="27">
        <v>49.1</v>
      </c>
      <c r="C33" s="28">
        <v>255.4</v>
      </c>
      <c r="D33" s="21"/>
      <c r="E33" s="28">
        <v>56.4</v>
      </c>
      <c r="F33" s="21"/>
      <c r="G33" s="21"/>
      <c r="H33" s="22"/>
      <c r="I33" s="29">
        <v>230.3</v>
      </c>
      <c r="J33" s="23"/>
      <c r="K33" s="45">
        <f t="shared" si="1"/>
        <v>591.2</v>
      </c>
      <c r="L33" s="40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ht="18.0" customHeight="1">
      <c r="A34" s="26">
        <v>46053.0</v>
      </c>
      <c r="B34" s="27">
        <v>147.8</v>
      </c>
      <c r="C34" s="28">
        <v>1005.4</v>
      </c>
      <c r="D34" s="21"/>
      <c r="E34" s="21"/>
      <c r="F34" s="21"/>
      <c r="G34" s="21"/>
      <c r="H34" s="22"/>
      <c r="I34" s="29">
        <v>143.3</v>
      </c>
      <c r="J34" s="23"/>
      <c r="K34" s="45">
        <f t="shared" si="1"/>
        <v>1296.5</v>
      </c>
      <c r="L34" s="44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ht="18.0" customHeight="1">
      <c r="A35" s="48" t="s">
        <v>14</v>
      </c>
      <c r="B35" s="49">
        <f t="shared" ref="B35:K35" si="2">SUM(B5:B34)</f>
        <v>3473.78</v>
      </c>
      <c r="C35" s="49">
        <f t="shared" si="2"/>
        <v>36767.69</v>
      </c>
      <c r="D35" s="49">
        <f t="shared" si="2"/>
        <v>596</v>
      </c>
      <c r="E35" s="49">
        <f t="shared" si="2"/>
        <v>717.1</v>
      </c>
      <c r="F35" s="49">
        <f t="shared" si="2"/>
        <v>0</v>
      </c>
      <c r="G35" s="49">
        <f t="shared" si="2"/>
        <v>0</v>
      </c>
      <c r="H35" s="49">
        <f t="shared" si="2"/>
        <v>0</v>
      </c>
      <c r="I35" s="49">
        <f t="shared" si="2"/>
        <v>6668.7</v>
      </c>
      <c r="J35" s="49">
        <f t="shared" si="2"/>
        <v>965.8</v>
      </c>
      <c r="K35" s="49">
        <f t="shared" si="2"/>
        <v>49189.07</v>
      </c>
      <c r="L35" s="50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ht="14.2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ht="14.2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ht="14.2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ht="14.2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ht="14.2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ht="14.2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ht="14.2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ht="14.2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ht="14.2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ht="14.2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</sheetData>
  <mergeCells count="12">
    <mergeCell ref="L18:L21"/>
    <mergeCell ref="L22:L24"/>
    <mergeCell ref="L25:L28"/>
    <mergeCell ref="L29:L31"/>
    <mergeCell ref="L32:L34"/>
    <mergeCell ref="A2:K2"/>
    <mergeCell ref="A3:A4"/>
    <mergeCell ref="B3:J3"/>
    <mergeCell ref="K3:K4"/>
    <mergeCell ref="L8:L10"/>
    <mergeCell ref="L11:L14"/>
    <mergeCell ref="L15:L1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11" width="12.38"/>
    <col customWidth="1" min="12" max="12" width="13.25"/>
    <col customWidth="1" min="13" max="25" width="10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4"/>
      <c r="L2" s="5"/>
    </row>
    <row r="3" ht="18.0" customHeight="1">
      <c r="A3" s="6" t="s">
        <v>1</v>
      </c>
      <c r="B3" s="7" t="s">
        <v>2</v>
      </c>
      <c r="C3" s="8"/>
      <c r="D3" s="8"/>
      <c r="E3" s="8"/>
      <c r="F3" s="8"/>
      <c r="G3" s="8"/>
      <c r="H3" s="8"/>
      <c r="I3" s="8"/>
      <c r="J3" s="9"/>
      <c r="K3" s="10" t="s">
        <v>3</v>
      </c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18.0" customHeight="1">
      <c r="A4" s="13"/>
      <c r="B4" s="14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6" t="s">
        <v>11</v>
      </c>
      <c r="J4" s="17" t="s">
        <v>12</v>
      </c>
      <c r="K4" s="18"/>
      <c r="L4" s="5"/>
    </row>
    <row r="5" ht="18.0" customHeight="1">
      <c r="A5" s="19">
        <v>46024.0</v>
      </c>
      <c r="B5" s="20"/>
      <c r="C5" s="21"/>
      <c r="D5" s="21"/>
      <c r="E5" s="21"/>
      <c r="F5" s="21"/>
      <c r="G5" s="21"/>
      <c r="H5" s="22"/>
      <c r="I5" s="22"/>
      <c r="J5" s="23"/>
      <c r="K5" s="24">
        <f>SUM(B5:J5)</f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ht="18.0" customHeight="1">
      <c r="A6" s="26">
        <v>46025.0</v>
      </c>
      <c r="B6" s="20"/>
      <c r="C6" s="21"/>
      <c r="D6" s="21"/>
      <c r="E6" s="21"/>
      <c r="F6" s="21"/>
      <c r="G6" s="21"/>
      <c r="H6" s="22"/>
      <c r="I6" s="22"/>
      <c r="J6" s="23"/>
      <c r="K6" s="24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ht="18.0" customHeight="1">
      <c r="A7" s="31">
        <v>46026.0</v>
      </c>
      <c r="B7" s="53"/>
      <c r="C7" s="34"/>
      <c r="D7" s="34"/>
      <c r="E7" s="34"/>
      <c r="F7" s="34"/>
      <c r="G7" s="34"/>
      <c r="H7" s="35"/>
      <c r="I7" s="35"/>
      <c r="J7" s="54"/>
      <c r="K7" s="38">
        <f t="shared" ref="K7:K12" si="1">SUM(B7:J7)</f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ht="18.0" customHeight="1">
      <c r="A8" s="19">
        <v>46027.0</v>
      </c>
      <c r="B8" s="20"/>
      <c r="C8" s="21"/>
      <c r="D8" s="21"/>
      <c r="E8" s="21"/>
      <c r="F8" s="21"/>
      <c r="G8" s="21"/>
      <c r="H8" s="22"/>
      <c r="I8" s="22"/>
      <c r="J8" s="23"/>
      <c r="K8" s="24">
        <f t="shared" si="1"/>
        <v>0</v>
      </c>
      <c r="L8" s="39" t="s">
        <v>13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ht="18.0" customHeight="1">
      <c r="A9" s="19">
        <v>46028.0</v>
      </c>
      <c r="B9" s="20"/>
      <c r="C9" s="21"/>
      <c r="D9" s="21"/>
      <c r="E9" s="21"/>
      <c r="F9" s="21"/>
      <c r="G9" s="21"/>
      <c r="H9" s="22"/>
      <c r="I9" s="22"/>
      <c r="J9" s="23"/>
      <c r="K9" s="24">
        <f t="shared" si="1"/>
        <v>0</v>
      </c>
      <c r="L9" s="40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ht="18.0" customHeight="1">
      <c r="A10" s="19">
        <v>46029.0</v>
      </c>
      <c r="B10" s="20"/>
      <c r="C10" s="21"/>
      <c r="D10" s="21"/>
      <c r="E10" s="21"/>
      <c r="F10" s="21"/>
      <c r="G10" s="21"/>
      <c r="H10" s="22"/>
      <c r="I10" s="22"/>
      <c r="J10" s="23"/>
      <c r="K10" s="24">
        <f t="shared" si="1"/>
        <v>0</v>
      </c>
      <c r="L10" s="41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ht="18.0" customHeight="1">
      <c r="A11" s="19">
        <v>46030.0</v>
      </c>
      <c r="B11" s="20"/>
      <c r="C11" s="21"/>
      <c r="D11" s="21"/>
      <c r="E11" s="21"/>
      <c r="F11" s="21"/>
      <c r="G11" s="21"/>
      <c r="H11" s="22"/>
      <c r="I11" s="22"/>
      <c r="J11" s="23"/>
      <c r="K11" s="24">
        <f t="shared" si="1"/>
        <v>0</v>
      </c>
      <c r="L11" s="42">
        <f>SUM(K8:K14)</f>
        <v>0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ht="18.0" customHeight="1">
      <c r="A12" s="19">
        <v>46031.0</v>
      </c>
      <c r="B12" s="20"/>
      <c r="C12" s="21"/>
      <c r="D12" s="21"/>
      <c r="E12" s="21"/>
      <c r="F12" s="21"/>
      <c r="G12" s="21"/>
      <c r="H12" s="22"/>
      <c r="I12" s="22"/>
      <c r="J12" s="23"/>
      <c r="K12" s="24">
        <f t="shared" si="1"/>
        <v>0</v>
      </c>
      <c r="L12" s="40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ht="18.0" customHeight="1">
      <c r="A13" s="26">
        <v>46032.0</v>
      </c>
      <c r="B13" s="20"/>
      <c r="C13" s="21"/>
      <c r="D13" s="21"/>
      <c r="E13" s="21"/>
      <c r="F13" s="21"/>
      <c r="G13" s="21"/>
      <c r="H13" s="22"/>
      <c r="I13" s="22"/>
      <c r="J13" s="23"/>
      <c r="K13" s="24"/>
      <c r="L13" s="40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ht="18.0" customHeight="1">
      <c r="A14" s="31">
        <v>46033.0</v>
      </c>
      <c r="B14" s="53"/>
      <c r="C14" s="34"/>
      <c r="D14" s="34"/>
      <c r="E14" s="34"/>
      <c r="F14" s="34"/>
      <c r="G14" s="34"/>
      <c r="H14" s="35"/>
      <c r="I14" s="35"/>
      <c r="J14" s="54"/>
      <c r="K14" s="43">
        <f t="shared" ref="K14:K19" si="2">SUM(B14:J14)</f>
        <v>0</v>
      </c>
      <c r="L14" s="44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ht="18.0" customHeight="1">
      <c r="A15" s="19">
        <v>46034.0</v>
      </c>
      <c r="B15" s="20"/>
      <c r="C15" s="21"/>
      <c r="D15" s="21"/>
      <c r="E15" s="21"/>
      <c r="F15" s="21"/>
      <c r="G15" s="21"/>
      <c r="H15" s="22"/>
      <c r="I15" s="22"/>
      <c r="J15" s="23"/>
      <c r="K15" s="24">
        <f t="shared" si="2"/>
        <v>0</v>
      </c>
      <c r="L15" s="39" t="s">
        <v>13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ht="18.0" customHeight="1">
      <c r="A16" s="19">
        <v>46035.0</v>
      </c>
      <c r="B16" s="20"/>
      <c r="C16" s="21"/>
      <c r="D16" s="21"/>
      <c r="E16" s="21"/>
      <c r="F16" s="21"/>
      <c r="G16" s="21"/>
      <c r="H16" s="22"/>
      <c r="I16" s="22"/>
      <c r="J16" s="23"/>
      <c r="K16" s="24">
        <f t="shared" si="2"/>
        <v>0</v>
      </c>
      <c r="L16" s="40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ht="18.0" customHeight="1">
      <c r="A17" s="19">
        <v>46036.0</v>
      </c>
      <c r="B17" s="20"/>
      <c r="C17" s="21"/>
      <c r="D17" s="21"/>
      <c r="E17" s="21"/>
      <c r="F17" s="21"/>
      <c r="G17" s="21"/>
      <c r="H17" s="22"/>
      <c r="I17" s="22"/>
      <c r="J17" s="23"/>
      <c r="K17" s="24">
        <f t="shared" si="2"/>
        <v>0</v>
      </c>
      <c r="L17" s="41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ht="18.0" customHeight="1">
      <c r="A18" s="19">
        <v>46037.0</v>
      </c>
      <c r="B18" s="20"/>
      <c r="C18" s="21"/>
      <c r="D18" s="21"/>
      <c r="E18" s="21"/>
      <c r="F18" s="21"/>
      <c r="G18" s="21"/>
      <c r="H18" s="22"/>
      <c r="I18" s="22"/>
      <c r="J18" s="23"/>
      <c r="K18" s="24">
        <f t="shared" si="2"/>
        <v>0</v>
      </c>
      <c r="L18" s="42">
        <f>SUM(K15:K21)</f>
        <v>0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ht="18.0" customHeight="1">
      <c r="A19" s="19">
        <v>46038.0</v>
      </c>
      <c r="B19" s="20"/>
      <c r="C19" s="21"/>
      <c r="D19" s="21"/>
      <c r="E19" s="21"/>
      <c r="F19" s="21"/>
      <c r="G19" s="21"/>
      <c r="H19" s="22"/>
      <c r="I19" s="22"/>
      <c r="J19" s="23"/>
      <c r="K19" s="24">
        <f t="shared" si="2"/>
        <v>0</v>
      </c>
      <c r="L19" s="40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ht="18.0" customHeight="1">
      <c r="A20" s="26">
        <v>46039.0</v>
      </c>
      <c r="B20" s="20"/>
      <c r="C20" s="21"/>
      <c r="D20" s="21"/>
      <c r="E20" s="21"/>
      <c r="F20" s="21"/>
      <c r="G20" s="21"/>
      <c r="H20" s="22"/>
      <c r="I20" s="22"/>
      <c r="J20" s="23"/>
      <c r="K20" s="24"/>
      <c r="L20" s="40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ht="18.0" customHeight="1">
      <c r="A21" s="31">
        <v>46040.0</v>
      </c>
      <c r="B21" s="53"/>
      <c r="C21" s="34"/>
      <c r="D21" s="34"/>
      <c r="E21" s="34"/>
      <c r="F21" s="34"/>
      <c r="G21" s="34"/>
      <c r="H21" s="35"/>
      <c r="I21" s="35"/>
      <c r="J21" s="54"/>
      <c r="K21" s="43">
        <f t="shared" ref="K21:K26" si="3">SUM(B21:J21)</f>
        <v>0</v>
      </c>
      <c r="L21" s="44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ht="18.0" customHeight="1">
      <c r="A22" s="19">
        <v>46041.0</v>
      </c>
      <c r="B22" s="20"/>
      <c r="C22" s="21"/>
      <c r="D22" s="21"/>
      <c r="E22" s="21"/>
      <c r="F22" s="21"/>
      <c r="G22" s="21"/>
      <c r="H22" s="22"/>
      <c r="I22" s="22"/>
      <c r="J22" s="23"/>
      <c r="K22" s="24">
        <f t="shared" si="3"/>
        <v>0</v>
      </c>
      <c r="L22" s="39" t="s">
        <v>13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ht="18.0" customHeight="1">
      <c r="A23" s="19">
        <v>46042.0</v>
      </c>
      <c r="B23" s="20"/>
      <c r="C23" s="21"/>
      <c r="D23" s="21"/>
      <c r="E23" s="21"/>
      <c r="F23" s="21"/>
      <c r="G23" s="21"/>
      <c r="H23" s="22"/>
      <c r="I23" s="22"/>
      <c r="J23" s="23"/>
      <c r="K23" s="24">
        <f t="shared" si="3"/>
        <v>0</v>
      </c>
      <c r="L23" s="40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ht="18.0" customHeight="1">
      <c r="A24" s="19">
        <v>46043.0</v>
      </c>
      <c r="B24" s="20"/>
      <c r="C24" s="21"/>
      <c r="D24" s="21"/>
      <c r="E24" s="21"/>
      <c r="F24" s="21"/>
      <c r="G24" s="21"/>
      <c r="H24" s="22"/>
      <c r="I24" s="22"/>
      <c r="J24" s="23"/>
      <c r="K24" s="24">
        <f t="shared" si="3"/>
        <v>0</v>
      </c>
      <c r="L24" s="41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ht="18.0" customHeight="1">
      <c r="A25" s="19">
        <v>46044.0</v>
      </c>
      <c r="B25" s="20"/>
      <c r="C25" s="21"/>
      <c r="D25" s="21"/>
      <c r="E25" s="21"/>
      <c r="F25" s="21"/>
      <c r="G25" s="21"/>
      <c r="H25" s="22"/>
      <c r="I25" s="22"/>
      <c r="J25" s="23"/>
      <c r="K25" s="24">
        <f t="shared" si="3"/>
        <v>0</v>
      </c>
      <c r="L25" s="42">
        <f>SUM(K22:K28)</f>
        <v>0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ht="18.0" customHeight="1">
      <c r="A26" s="19">
        <v>46045.0</v>
      </c>
      <c r="B26" s="20"/>
      <c r="C26" s="21"/>
      <c r="D26" s="21"/>
      <c r="E26" s="21"/>
      <c r="F26" s="21"/>
      <c r="G26" s="21"/>
      <c r="H26" s="22"/>
      <c r="I26" s="22"/>
      <c r="J26" s="23"/>
      <c r="K26" s="24">
        <f t="shared" si="3"/>
        <v>0</v>
      </c>
      <c r="L26" s="40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ht="18.0" customHeight="1">
      <c r="A27" s="26">
        <v>46046.0</v>
      </c>
      <c r="B27" s="20"/>
      <c r="C27" s="21"/>
      <c r="D27" s="21"/>
      <c r="E27" s="21"/>
      <c r="F27" s="21"/>
      <c r="G27" s="21"/>
      <c r="H27" s="22"/>
      <c r="I27" s="22"/>
      <c r="J27" s="23"/>
      <c r="K27" s="24"/>
      <c r="L27" s="40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ht="18.0" customHeight="1">
      <c r="A28" s="31">
        <v>46047.0</v>
      </c>
      <c r="B28" s="53"/>
      <c r="C28" s="34"/>
      <c r="D28" s="34"/>
      <c r="E28" s="34"/>
      <c r="F28" s="34"/>
      <c r="G28" s="34"/>
      <c r="H28" s="35"/>
      <c r="I28" s="35"/>
      <c r="J28" s="54"/>
      <c r="K28" s="43">
        <f t="shared" ref="K28:K34" si="4">SUM(B28:J28)</f>
        <v>0</v>
      </c>
      <c r="L28" s="44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ht="18.0" customHeight="1">
      <c r="A29" s="19">
        <v>46048.0</v>
      </c>
      <c r="B29" s="20"/>
      <c r="C29" s="21"/>
      <c r="D29" s="21"/>
      <c r="E29" s="21"/>
      <c r="F29" s="21"/>
      <c r="G29" s="21"/>
      <c r="H29" s="22"/>
      <c r="I29" s="22"/>
      <c r="J29" s="23"/>
      <c r="K29" s="45">
        <f t="shared" si="4"/>
        <v>0</v>
      </c>
      <c r="L29" s="46" t="s">
        <v>13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ht="18.0" customHeight="1">
      <c r="A30" s="19">
        <v>46049.0</v>
      </c>
      <c r="B30" s="20"/>
      <c r="C30" s="21"/>
      <c r="D30" s="21"/>
      <c r="E30" s="21"/>
      <c r="F30" s="21"/>
      <c r="G30" s="21"/>
      <c r="H30" s="22"/>
      <c r="I30" s="22"/>
      <c r="J30" s="23"/>
      <c r="K30" s="45">
        <f t="shared" si="4"/>
        <v>0</v>
      </c>
      <c r="L30" s="40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ht="18.0" customHeight="1">
      <c r="A31" s="19">
        <v>46050.0</v>
      </c>
      <c r="B31" s="20"/>
      <c r="C31" s="21"/>
      <c r="D31" s="21"/>
      <c r="E31" s="21"/>
      <c r="F31" s="21"/>
      <c r="G31" s="21"/>
      <c r="H31" s="22"/>
      <c r="I31" s="22"/>
      <c r="J31" s="23"/>
      <c r="K31" s="45">
        <f t="shared" si="4"/>
        <v>0</v>
      </c>
      <c r="L31" s="40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ht="18.0" customHeight="1">
      <c r="A32" s="19">
        <v>46051.0</v>
      </c>
      <c r="B32" s="20"/>
      <c r="C32" s="21"/>
      <c r="D32" s="21"/>
      <c r="E32" s="21"/>
      <c r="F32" s="21"/>
      <c r="G32" s="21"/>
      <c r="H32" s="22"/>
      <c r="I32" s="22"/>
      <c r="J32" s="23"/>
      <c r="K32" s="45">
        <f t="shared" si="4"/>
        <v>0</v>
      </c>
      <c r="L32" s="47">
        <f>SUM(K31:K37)</f>
        <v>0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ht="18.0" customHeight="1">
      <c r="A33" s="19">
        <v>46052.0</v>
      </c>
      <c r="B33" s="20"/>
      <c r="C33" s="21"/>
      <c r="D33" s="21"/>
      <c r="E33" s="21"/>
      <c r="F33" s="21"/>
      <c r="G33" s="21"/>
      <c r="H33" s="22"/>
      <c r="I33" s="22"/>
      <c r="J33" s="23"/>
      <c r="K33" s="45">
        <f t="shared" si="4"/>
        <v>0</v>
      </c>
      <c r="L33" s="40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ht="18.0" customHeight="1">
      <c r="A34" s="26">
        <v>46053.0</v>
      </c>
      <c r="B34" s="20"/>
      <c r="C34" s="21"/>
      <c r="D34" s="21"/>
      <c r="E34" s="21"/>
      <c r="F34" s="21"/>
      <c r="G34" s="21"/>
      <c r="H34" s="22"/>
      <c r="I34" s="22"/>
      <c r="J34" s="23"/>
      <c r="K34" s="45">
        <f t="shared" si="4"/>
        <v>0</v>
      </c>
      <c r="L34" s="44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ht="18.0" customHeight="1">
      <c r="A35" s="48" t="s">
        <v>14</v>
      </c>
      <c r="B35" s="55">
        <f t="shared" ref="B35:K35" si="5">SUM(B5:B33)</f>
        <v>0</v>
      </c>
      <c r="C35" s="55">
        <f t="shared" si="5"/>
        <v>0</v>
      </c>
      <c r="D35" s="55">
        <f t="shared" si="5"/>
        <v>0</v>
      </c>
      <c r="E35" s="55">
        <f t="shared" si="5"/>
        <v>0</v>
      </c>
      <c r="F35" s="55">
        <f t="shared" si="5"/>
        <v>0</v>
      </c>
      <c r="G35" s="55">
        <f t="shared" si="5"/>
        <v>0</v>
      </c>
      <c r="H35" s="55">
        <f t="shared" si="5"/>
        <v>0</v>
      </c>
      <c r="I35" s="55">
        <f t="shared" si="5"/>
        <v>0</v>
      </c>
      <c r="J35" s="56">
        <f t="shared" si="5"/>
        <v>0</v>
      </c>
      <c r="K35" s="49">
        <f t="shared" si="5"/>
        <v>0</v>
      </c>
      <c r="L35" s="50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ht="14.2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ht="14.2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ht="14.2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ht="14.2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ht="14.2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ht="14.2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ht="14.2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ht="14.2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ht="14.2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ht="14.2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</sheetData>
  <mergeCells count="12">
    <mergeCell ref="L18:L21"/>
    <mergeCell ref="L22:L24"/>
    <mergeCell ref="L25:L28"/>
    <mergeCell ref="L29:L31"/>
    <mergeCell ref="L32:L34"/>
    <mergeCell ref="A2:K2"/>
    <mergeCell ref="A3:A4"/>
    <mergeCell ref="B3:J3"/>
    <mergeCell ref="K3:K4"/>
    <mergeCell ref="L8:L10"/>
    <mergeCell ref="L11:L14"/>
    <mergeCell ref="L15:L1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2024-11-12T15:57:09Z</dcterms:created>
  <dc:creator>MEYER HBJO</dc:creator>
</cp:coreProperties>
</file>