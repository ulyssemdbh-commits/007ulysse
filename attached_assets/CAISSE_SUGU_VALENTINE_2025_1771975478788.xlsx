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cembre 2025" sheetId="1" r:id="rId4"/>
    <sheet state="visible" name="Novembre 2025" sheetId="2" r:id="rId5"/>
    <sheet state="visible" name="Octobre 2025" sheetId="3" r:id="rId6"/>
    <sheet state="visible" name="Septembre 2025" sheetId="4" r:id="rId7"/>
    <sheet state="visible" name="Vierge" sheetId="5" r:id="rId8"/>
  </sheets>
  <definedNames/>
  <calcPr/>
  <extLst>
    <ext uri="GoogleSheetsCustomDataVersion2">
      <go:sheetsCustomData xmlns:go="http://customooxmlschemas.google.com/" r:id="rId9" roundtripDataChecksum="hs9X7C3DmyrkN6ini4mqJNTqNXEXQQPkGcdKYZtGIkQ="/>
    </ext>
  </extLst>
</workbook>
</file>

<file path=xl/sharedStrings.xml><?xml version="1.0" encoding="utf-8"?>
<sst xmlns="http://schemas.openxmlformats.org/spreadsheetml/2006/main" count="107" uniqueCount="27">
  <si>
    <t>SUGU Valentine - Journal de Caisse Décembre 2025</t>
  </si>
  <si>
    <t>DATE</t>
  </si>
  <si>
    <t>MODE DE PAIEMENT</t>
  </si>
  <si>
    <t>TOTAL/JOUR</t>
  </si>
  <si>
    <t>Espèces</t>
  </si>
  <si>
    <t>CB</t>
  </si>
  <si>
    <t>CB Zenorder</t>
  </si>
  <si>
    <t>TR</t>
  </si>
  <si>
    <t>CTR</t>
  </si>
  <si>
    <t>Chèque</t>
  </si>
  <si>
    <t>Virement</t>
  </si>
  <si>
    <t>UBER EATS</t>
  </si>
  <si>
    <t>DELIVEROO</t>
  </si>
  <si>
    <t>Total Semaine</t>
  </si>
  <si>
    <t>TOTAL/MOIS</t>
  </si>
  <si>
    <t>sog</t>
  </si>
  <si>
    <t>SUGU Valentine - Journal de Caisse Novembre 2025</t>
  </si>
  <si>
    <t>-</t>
  </si>
  <si>
    <t>-265,2 deli</t>
  </si>
  <si>
    <t>Totaux RAZ</t>
  </si>
  <si>
    <t>Diff.</t>
  </si>
  <si>
    <t>SUGU Valentine - Journal de Caisse Octobre 2025</t>
  </si>
  <si>
    <t>YOM KIPPOUR</t>
  </si>
  <si>
    <t>Fêtes DE SOUCCOT</t>
  </si>
  <si>
    <t>Totaux/Mois</t>
  </si>
  <si>
    <t>SUGU Valentine - Journal de Caisse Septembre 2025</t>
  </si>
  <si>
    <t>SUGU Valentine - Journal de Caisse vierge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</si>
</sst>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&quot;€&quot;_-;\-* #,##0.00\ &quot;€&quot;_-;_-* &quot;-&quot;??\ &quot;€&quot;_-;_-@"/>
    <numFmt numFmtId="165" formatCode="#,##0.00\ [$€-1]"/>
  </numFmts>
  <fonts count="20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theme="1"/>
      <name val="Aptos Narrow"/>
      <scheme val="minor"/>
    </font>
    <font>
      <b/>
      <sz val="20.0"/>
      <color theme="1"/>
      <name val="Arial"/>
    </font>
    <font/>
    <font>
      <b/>
      <sz val="14.0"/>
      <color theme="1"/>
      <name val="Aptos Narrow"/>
    </font>
    <font>
      <b/>
      <sz val="12.0"/>
      <color theme="1"/>
      <name val="Aptos Narrow"/>
    </font>
    <font>
      <b/>
      <sz val="11.0"/>
      <color theme="1"/>
      <name val="Aptos Narrow"/>
    </font>
    <font>
      <sz val="10.0"/>
      <color theme="1"/>
      <name val="Aptos Narrow"/>
    </font>
    <font>
      <sz val="14.0"/>
      <color theme="1"/>
      <name val="Aptos Narrow"/>
    </font>
    <font>
      <sz val="11.0"/>
      <color theme="1"/>
      <name val="Arial"/>
    </font>
    <font>
      <sz val="11.0"/>
      <color theme="1"/>
      <name val="Bahnschrift"/>
    </font>
    <font>
      <sz val="10.0"/>
      <color theme="1"/>
      <name val="Arial"/>
    </font>
    <font>
      <b/>
      <sz val="10.0"/>
      <color theme="1"/>
      <name val="Aptos Narrow"/>
    </font>
    <font>
      <color theme="1"/>
      <name val="Aptos Narrow"/>
      <scheme val="minor"/>
    </font>
    <font>
      <sz val="9.0"/>
      <color theme="1"/>
      <name val="Arial"/>
    </font>
    <font>
      <b/>
      <sz val="11.0"/>
      <color theme="1"/>
      <name val="Arial"/>
    </font>
    <font>
      <b/>
      <sz val="9.0"/>
      <color theme="1"/>
      <name val="Aptos Narrow"/>
    </font>
    <font>
      <sz val="10.0"/>
      <color theme="1"/>
      <name val="Bahnschrift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</fills>
  <borders count="4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2" fontId="7" numFmtId="0" xfId="0" applyAlignment="1" applyBorder="1" applyFont="1">
      <alignment horizontal="center" vertical="center"/>
    </xf>
    <xf borderId="0" fillId="0" fontId="8" numFmtId="0" xfId="0" applyFont="1"/>
    <xf borderId="0" fillId="0" fontId="9" numFmtId="0" xfId="0" applyFont="1"/>
    <xf borderId="9" fillId="0" fontId="4" numFmtId="0" xfId="0" applyBorder="1" applyFont="1"/>
    <xf borderId="10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10" numFmtId="16" xfId="0" applyAlignment="1" applyBorder="1" applyFont="1" applyNumberFormat="1">
      <alignment horizontal="center" readingOrder="0" vertical="center"/>
    </xf>
    <xf borderId="15" fillId="0" fontId="10" numFmtId="164" xfId="0" applyAlignment="1" applyBorder="1" applyFont="1" applyNumberFormat="1">
      <alignment horizontal="center" readingOrder="0" vertical="center"/>
    </xf>
    <xf borderId="16" fillId="0" fontId="10" numFmtId="164" xfId="0" applyAlignment="1" applyBorder="1" applyFont="1" applyNumberFormat="1">
      <alignment horizontal="center" readingOrder="0" vertical="center"/>
    </xf>
    <xf borderId="16" fillId="0" fontId="11" numFmtId="164" xfId="0" applyAlignment="1" applyBorder="1" applyFont="1" applyNumberFormat="1">
      <alignment horizontal="center" vertical="center"/>
    </xf>
    <xf borderId="17" fillId="0" fontId="11" numFmtId="164" xfId="0" applyAlignment="1" applyBorder="1" applyFont="1" applyNumberFormat="1">
      <alignment horizontal="center" vertical="center"/>
    </xf>
    <xf borderId="17" fillId="0" fontId="10" numFmtId="164" xfId="0" applyAlignment="1" applyBorder="1" applyFont="1" applyNumberFormat="1">
      <alignment horizontal="center" readingOrder="0" vertical="center"/>
    </xf>
    <xf borderId="18" fillId="0" fontId="11" numFmtId="164" xfId="0" applyAlignment="1" applyBorder="1" applyFont="1" applyNumberFormat="1">
      <alignment horizontal="center" vertical="center"/>
    </xf>
    <xf borderId="19" fillId="0" fontId="11" numFmtId="164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0" fillId="0" fontId="10" numFmtId="164" xfId="0" applyAlignment="1" applyBorder="1" applyFont="1" applyNumberFormat="1">
      <alignment horizontal="center" readingOrder="0" vertical="center"/>
    </xf>
    <xf borderId="21" fillId="0" fontId="10" numFmtId="164" xfId="0" applyAlignment="1" applyBorder="1" applyFont="1" applyNumberFormat="1">
      <alignment horizontal="center" readingOrder="0" vertical="center"/>
    </xf>
    <xf borderId="21" fillId="0" fontId="11" numFmtId="164" xfId="0" applyAlignment="1" applyBorder="1" applyFont="1" applyNumberFormat="1">
      <alignment horizontal="center" vertical="center"/>
    </xf>
    <xf borderId="22" fillId="0" fontId="11" numFmtId="164" xfId="0" applyAlignment="1" applyBorder="1" applyFont="1" applyNumberFormat="1">
      <alignment horizontal="center" vertical="center"/>
    </xf>
    <xf borderId="22" fillId="0" fontId="10" numFmtId="164" xfId="0" applyAlignment="1" applyBorder="1" applyFont="1" applyNumberFormat="1">
      <alignment horizontal="center" readingOrder="0" vertical="center"/>
    </xf>
    <xf borderId="23" fillId="0" fontId="10" numFmtId="164" xfId="0" applyAlignment="1" applyBorder="1" applyFont="1" applyNumberFormat="1">
      <alignment horizontal="center" readingOrder="0" vertical="center"/>
    </xf>
    <xf borderId="24" fillId="0" fontId="4" numFmtId="0" xfId="0" applyBorder="1" applyFont="1"/>
    <xf borderId="25" fillId="0" fontId="4" numFmtId="0" xfId="0" applyBorder="1" applyFont="1"/>
    <xf borderId="24" fillId="0" fontId="10" numFmtId="16" xfId="0" applyAlignment="1" applyBorder="1" applyFont="1" applyNumberFormat="1">
      <alignment horizontal="center" readingOrder="0" vertical="center"/>
    </xf>
    <xf borderId="18" fillId="0" fontId="10" numFmtId="164" xfId="0" applyAlignment="1" applyBorder="1" applyFont="1" applyNumberFormat="1">
      <alignment horizontal="center" readingOrder="0" vertical="center"/>
    </xf>
    <xf borderId="26" fillId="0" fontId="8" numFmtId="164" xfId="0" applyAlignment="1" applyBorder="1" applyFont="1" applyNumberFormat="1">
      <alignment vertical="center"/>
    </xf>
    <xf borderId="19" fillId="0" fontId="10" numFmtId="16" xfId="0" applyAlignment="1" applyBorder="1" applyFont="1" applyNumberFormat="1">
      <alignment horizontal="center" readingOrder="0" vertical="center"/>
    </xf>
    <xf borderId="23" fillId="0" fontId="11" numFmtId="164" xfId="0" applyAlignment="1" applyBorder="1" applyFont="1" applyNumberFormat="1">
      <alignment horizontal="center" vertical="center"/>
    </xf>
    <xf borderId="14" fillId="3" fontId="10" numFmtId="16" xfId="0" applyAlignment="1" applyBorder="1" applyFill="1" applyFont="1" applyNumberFormat="1">
      <alignment horizontal="center" readingOrder="0" vertical="center"/>
    </xf>
    <xf borderId="20" fillId="3" fontId="10" numFmtId="164" xfId="0" applyAlignment="1" applyBorder="1" applyFont="1" applyNumberFormat="1">
      <alignment horizontal="center" readingOrder="0" vertical="center"/>
    </xf>
    <xf borderId="21" fillId="3" fontId="10" numFmtId="164" xfId="0" applyAlignment="1" applyBorder="1" applyFont="1" applyNumberFormat="1">
      <alignment horizontal="center" readingOrder="0" vertical="center"/>
    </xf>
    <xf borderId="21" fillId="3" fontId="11" numFmtId="164" xfId="0" applyAlignment="1" applyBorder="1" applyFont="1" applyNumberFormat="1">
      <alignment horizontal="center" vertical="center"/>
    </xf>
    <xf borderId="22" fillId="3" fontId="11" numFmtId="164" xfId="0" applyAlignment="1" applyBorder="1" applyFont="1" applyNumberFormat="1">
      <alignment horizontal="center" vertical="center"/>
    </xf>
    <xf borderId="22" fillId="3" fontId="10" numFmtId="164" xfId="0" applyAlignment="1" applyBorder="1" applyFont="1" applyNumberFormat="1">
      <alignment horizontal="center" readingOrder="0" vertical="center"/>
    </xf>
    <xf borderId="23" fillId="3" fontId="10" numFmtId="164" xfId="0" applyAlignment="1" applyBorder="1" applyFont="1" applyNumberFormat="1">
      <alignment horizontal="center" readingOrder="0" vertical="center"/>
    </xf>
    <xf borderId="19" fillId="3" fontId="11" numFmtId="164" xfId="0" applyAlignment="1" applyBorder="1" applyFont="1" applyNumberFormat="1">
      <alignment horizontal="center" vertical="center"/>
    </xf>
    <xf borderId="27" fillId="0" fontId="4" numFmtId="0" xfId="0" applyBorder="1" applyFont="1"/>
    <xf borderId="15" fillId="0" fontId="11" numFmtId="164" xfId="0" applyAlignment="1" applyBorder="1" applyFont="1" applyNumberFormat="1">
      <alignment horizontal="center" vertical="center"/>
    </xf>
    <xf borderId="20" fillId="0" fontId="11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7" numFmtId="0" xfId="0" applyAlignment="1" applyFont="1">
      <alignment vertical="center"/>
    </xf>
    <xf borderId="1" fillId="2" fontId="7" numFmtId="0" xfId="0" applyAlignment="1" applyBorder="1" applyFont="1">
      <alignment horizontal="center" vertical="center"/>
    </xf>
    <xf borderId="28" fillId="2" fontId="7" numFmtId="164" xfId="0" applyAlignment="1" applyBorder="1" applyFont="1" applyNumberFormat="1">
      <alignment horizontal="center" vertical="center"/>
    </xf>
    <xf borderId="3" fillId="2" fontId="7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4" numFmtId="165" xfId="0" applyFont="1" applyNumberFormat="1"/>
    <xf borderId="5" fillId="2" fontId="6" numFmtId="165" xfId="0" applyAlignment="1" applyBorder="1" applyFont="1" applyNumberFormat="1">
      <alignment horizontal="center" vertical="center"/>
    </xf>
    <xf borderId="8" fillId="2" fontId="7" numFmtId="165" xfId="0" applyAlignment="1" applyBorder="1" applyFont="1" applyNumberFormat="1">
      <alignment horizontal="center" vertical="center"/>
    </xf>
    <xf borderId="0" fillId="0" fontId="9" numFmtId="165" xfId="0" applyFont="1" applyNumberFormat="1"/>
    <xf borderId="10" fillId="2" fontId="7" numFmtId="165" xfId="0" applyAlignment="1" applyBorder="1" applyFont="1" applyNumberFormat="1">
      <alignment horizontal="center" vertical="center"/>
    </xf>
    <xf borderId="11" fillId="2" fontId="7" numFmtId="165" xfId="0" applyAlignment="1" applyBorder="1" applyFont="1" applyNumberFormat="1">
      <alignment horizontal="center" vertical="center"/>
    </xf>
    <xf borderId="12" fillId="2" fontId="7" numFmtId="165" xfId="0" applyAlignment="1" applyBorder="1" applyFont="1" applyNumberFormat="1">
      <alignment horizontal="center" vertical="center"/>
    </xf>
    <xf borderId="19" fillId="3" fontId="10" numFmtId="16" xfId="0" applyAlignment="1" applyBorder="1" applyFont="1" applyNumberFormat="1">
      <alignment horizontal="center" readingOrder="0" vertical="center"/>
    </xf>
    <xf borderId="15" fillId="3" fontId="10" numFmtId="165" xfId="0" applyAlignment="1" applyBorder="1" applyFont="1" applyNumberFormat="1">
      <alignment horizontal="right" readingOrder="0" vertical="center"/>
    </xf>
    <xf borderId="16" fillId="3" fontId="10" numFmtId="165" xfId="0" applyAlignment="1" applyBorder="1" applyFont="1" applyNumberFormat="1">
      <alignment horizontal="right" readingOrder="0" vertical="center"/>
    </xf>
    <xf borderId="16" fillId="3" fontId="11" numFmtId="165" xfId="0" applyAlignment="1" applyBorder="1" applyFont="1" applyNumberFormat="1">
      <alignment horizontal="right" vertical="center"/>
    </xf>
    <xf borderId="17" fillId="3" fontId="11" numFmtId="165" xfId="0" applyAlignment="1" applyBorder="1" applyFont="1" applyNumberFormat="1">
      <alignment horizontal="right" vertical="center"/>
    </xf>
    <xf borderId="17" fillId="3" fontId="10" numFmtId="165" xfId="0" applyAlignment="1" applyBorder="1" applyFont="1" applyNumberFormat="1">
      <alignment horizontal="right" readingOrder="0" vertical="center"/>
    </xf>
    <xf borderId="18" fillId="3" fontId="10" numFmtId="165" xfId="0" applyAlignment="1" applyBorder="1" applyFont="1" applyNumberFormat="1">
      <alignment horizontal="right" readingOrder="0" vertical="center"/>
    </xf>
    <xf borderId="19" fillId="3" fontId="11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vertical="center"/>
    </xf>
    <xf borderId="0" fillId="0" fontId="10" numFmtId="0" xfId="0" applyAlignment="1" applyFont="1">
      <alignment readingOrder="0" vertical="center"/>
    </xf>
    <xf borderId="20" fillId="0" fontId="10" numFmtId="165" xfId="0" applyAlignment="1" applyBorder="1" applyFont="1" applyNumberFormat="1">
      <alignment horizontal="right" readingOrder="0" vertical="center"/>
    </xf>
    <xf borderId="21" fillId="0" fontId="10" numFmtId="165" xfId="0" applyAlignment="1" applyBorder="1" applyFont="1" applyNumberFormat="1">
      <alignment horizontal="right" readingOrder="0" vertical="center"/>
    </xf>
    <xf borderId="21" fillId="0" fontId="11" numFmtId="165" xfId="0" applyAlignment="1" applyBorder="1" applyFont="1" applyNumberFormat="1">
      <alignment horizontal="right" vertical="center"/>
    </xf>
    <xf borderId="22" fillId="0" fontId="11" numFmtId="165" xfId="0" applyAlignment="1" applyBorder="1" applyFont="1" applyNumberFormat="1">
      <alignment horizontal="right" vertical="center"/>
    </xf>
    <xf borderId="22" fillId="0" fontId="10" numFmtId="165" xfId="0" applyAlignment="1" applyBorder="1" applyFont="1" applyNumberFormat="1">
      <alignment horizontal="right" readingOrder="0" vertical="center"/>
    </xf>
    <xf borderId="23" fillId="0" fontId="10" numFmtId="165" xfId="0" applyAlignment="1" applyBorder="1" applyFont="1" applyNumberFormat="1">
      <alignment horizontal="right" readingOrder="0" vertical="center"/>
    </xf>
    <xf borderId="19" fillId="0" fontId="11" numFmtId="165" xfId="0" applyAlignment="1" applyBorder="1" applyFont="1" applyNumberFormat="1">
      <alignment horizontal="right" vertical="center"/>
    </xf>
    <xf borderId="19" fillId="0" fontId="12" numFmtId="165" xfId="0" applyAlignment="1" applyBorder="1" applyFont="1" applyNumberFormat="1">
      <alignment vertical="center"/>
    </xf>
    <xf borderId="15" fillId="0" fontId="10" numFmtId="165" xfId="0" applyAlignment="1" applyBorder="1" applyFont="1" applyNumberFormat="1">
      <alignment horizontal="right" readingOrder="0" vertical="center"/>
    </xf>
    <xf borderId="16" fillId="0" fontId="10" numFmtId="165" xfId="0" applyAlignment="1" applyBorder="1" applyFont="1" applyNumberFormat="1">
      <alignment horizontal="right" readingOrder="0" vertical="center"/>
    </xf>
    <xf borderId="16" fillId="0" fontId="11" numFmtId="165" xfId="0" applyAlignment="1" applyBorder="1" applyFont="1" applyNumberFormat="1">
      <alignment horizontal="right" vertical="center"/>
    </xf>
    <xf borderId="17" fillId="0" fontId="11" numFmtId="165" xfId="0" applyAlignment="1" applyBorder="1" applyFont="1" applyNumberFormat="1">
      <alignment horizontal="right" vertical="center"/>
    </xf>
    <xf borderId="17" fillId="0" fontId="10" numFmtId="165" xfId="0" applyAlignment="1" applyBorder="1" applyFont="1" applyNumberFormat="1">
      <alignment horizontal="right" readingOrder="0" vertical="center"/>
    </xf>
    <xf borderId="18" fillId="0" fontId="10" numFmtId="165" xfId="0" applyAlignment="1" applyBorder="1" applyFont="1" applyNumberFormat="1">
      <alignment horizontal="right" readingOrder="0" vertical="center"/>
    </xf>
    <xf borderId="23" fillId="0" fontId="11" numFmtId="165" xfId="0" applyAlignment="1" applyBorder="1" applyFont="1" applyNumberFormat="1">
      <alignment horizontal="right" vertical="center"/>
    </xf>
    <xf borderId="26" fillId="0" fontId="8" numFmtId="165" xfId="0" applyAlignment="1" applyBorder="1" applyFont="1" applyNumberFormat="1">
      <alignment vertical="center"/>
    </xf>
    <xf borderId="20" fillId="3" fontId="10" numFmtId="165" xfId="0" applyAlignment="1" applyBorder="1" applyFont="1" applyNumberFormat="1">
      <alignment horizontal="right" readingOrder="0" vertical="center"/>
    </xf>
    <xf borderId="21" fillId="3" fontId="10" numFmtId="165" xfId="0" applyAlignment="1" applyBorder="1" applyFont="1" applyNumberFormat="1">
      <alignment horizontal="right" readingOrder="0" vertical="center"/>
    </xf>
    <xf borderId="21" fillId="3" fontId="11" numFmtId="165" xfId="0" applyAlignment="1" applyBorder="1" applyFont="1" applyNumberFormat="1">
      <alignment horizontal="right" vertical="center"/>
    </xf>
    <xf borderId="22" fillId="3" fontId="11" numFmtId="165" xfId="0" applyAlignment="1" applyBorder="1" applyFont="1" applyNumberFormat="1">
      <alignment horizontal="right" vertical="center"/>
    </xf>
    <xf borderId="22" fillId="3" fontId="10" numFmtId="165" xfId="0" applyAlignment="1" applyBorder="1" applyFont="1" applyNumberFormat="1">
      <alignment horizontal="right" readingOrder="0" vertical="center"/>
    </xf>
    <xf borderId="23" fillId="3" fontId="10" numFmtId="165" xfId="0" applyAlignment="1" applyBorder="1" applyFont="1" applyNumberFormat="1">
      <alignment horizontal="right" readingOrder="0" vertical="center"/>
    </xf>
    <xf borderId="18" fillId="0" fontId="11" numFmtId="165" xfId="0" applyAlignment="1" applyBorder="1" applyFont="1" applyNumberFormat="1">
      <alignment horizontal="right" vertical="center"/>
    </xf>
    <xf borderId="21" fillId="0" fontId="10" numFmtId="165" xfId="0" applyAlignment="1" applyBorder="1" applyFont="1" applyNumberFormat="1">
      <alignment horizontal="right" vertical="center"/>
    </xf>
    <xf borderId="23" fillId="0" fontId="10" numFmtId="165" xfId="0" applyAlignment="1" applyBorder="1" applyFont="1" applyNumberFormat="1">
      <alignment horizontal="right" vertical="center"/>
    </xf>
    <xf borderId="29" fillId="0" fontId="10" numFmtId="165" xfId="0" applyAlignment="1" applyBorder="1" applyFont="1" applyNumberFormat="1">
      <alignment horizontal="right" readingOrder="0" vertical="center"/>
    </xf>
    <xf borderId="11" fillId="0" fontId="10" numFmtId="165" xfId="0" applyAlignment="1" applyBorder="1" applyFont="1" applyNumberFormat="1">
      <alignment horizontal="right" readingOrder="0" vertical="center"/>
    </xf>
    <xf borderId="11" fillId="0" fontId="10" numFmtId="165" xfId="0" applyAlignment="1" applyBorder="1" applyFont="1" applyNumberFormat="1">
      <alignment horizontal="right" vertical="center"/>
    </xf>
    <xf borderId="11" fillId="0" fontId="11" numFmtId="165" xfId="0" applyAlignment="1" applyBorder="1" applyFont="1" applyNumberFormat="1">
      <alignment horizontal="right" vertical="center"/>
    </xf>
    <xf borderId="30" fillId="0" fontId="11" numFmtId="165" xfId="0" applyAlignment="1" applyBorder="1" applyFont="1" applyNumberFormat="1">
      <alignment horizontal="right" vertical="center"/>
    </xf>
    <xf borderId="30" fillId="0" fontId="10" numFmtId="165" xfId="0" applyAlignment="1" applyBorder="1" applyFont="1" applyNumberFormat="1">
      <alignment horizontal="right" readingOrder="0" vertical="center"/>
    </xf>
    <xf borderId="12" fillId="0" fontId="10" numFmtId="165" xfId="0" applyAlignment="1" applyBorder="1" applyFont="1" applyNumberFormat="1">
      <alignment horizontal="right" vertical="center"/>
    </xf>
    <xf borderId="16" fillId="0" fontId="10" numFmtId="165" xfId="0" applyAlignment="1" applyBorder="1" applyFont="1" applyNumberFormat="1">
      <alignment horizontal="right" vertical="center"/>
    </xf>
    <xf borderId="17" fillId="0" fontId="10" numFmtId="165" xfId="0" applyAlignment="1" applyBorder="1" applyFont="1" applyNumberFormat="1">
      <alignment horizontal="right" vertical="center"/>
    </xf>
    <xf borderId="23" fillId="3" fontId="10" numFmtId="165" xfId="0" applyAlignment="1" applyBorder="1" applyFont="1" applyNumberFormat="1">
      <alignment horizontal="right" vertical="center"/>
    </xf>
    <xf borderId="15" fillId="0" fontId="10" numFmtId="165" xfId="0" applyAlignment="1" applyBorder="1" applyFont="1" applyNumberFormat="1">
      <alignment horizontal="right" vertical="center"/>
    </xf>
    <xf borderId="18" fillId="0" fontId="10" numFmtId="165" xfId="0" applyAlignment="1" applyBorder="1" applyFont="1" applyNumberFormat="1">
      <alignment horizontal="right" vertical="center"/>
    </xf>
    <xf borderId="22" fillId="3" fontId="10" numFmtId="165" xfId="0" applyAlignment="1" applyBorder="1" applyFont="1" applyNumberFormat="1">
      <alignment horizontal="right" vertical="center"/>
    </xf>
    <xf borderId="0" fillId="0" fontId="15" numFmtId="0" xfId="0" applyAlignment="1" applyFont="1">
      <alignment readingOrder="0" vertical="center"/>
    </xf>
    <xf borderId="22" fillId="0" fontId="10" numFmtId="165" xfId="0" applyAlignment="1" applyBorder="1" applyFont="1" applyNumberFormat="1">
      <alignment horizontal="right" vertical="center"/>
    </xf>
    <xf borderId="14" fillId="3" fontId="11" numFmtId="165" xfId="0" applyAlignment="1" applyBorder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right" vertical="center"/>
    </xf>
    <xf borderId="0" fillId="0" fontId="7" numFmtId="165" xfId="0" applyAlignment="1" applyFont="1" applyNumberFormat="1">
      <alignment vertical="center"/>
    </xf>
    <xf borderId="28" fillId="2" fontId="7" numFmtId="165" xfId="0" applyAlignment="1" applyBorder="1" applyFont="1" applyNumberFormat="1">
      <alignment horizontal="right" vertical="center"/>
    </xf>
    <xf borderId="21" fillId="2" fontId="7" numFmtId="165" xfId="0" applyAlignment="1" applyBorder="1" applyFont="1" applyNumberFormat="1">
      <alignment horizontal="right" vertical="center"/>
    </xf>
    <xf borderId="23" fillId="2" fontId="7" numFmtId="165" xfId="0" applyAlignment="1" applyBorder="1" applyFont="1" applyNumberFormat="1">
      <alignment horizontal="right" vertical="center"/>
    </xf>
    <xf borderId="3" fillId="2" fontId="7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1" fillId="2" fontId="16" numFmtId="0" xfId="0" applyAlignment="1" applyBorder="1" applyFont="1">
      <alignment horizontal="center" readingOrder="0" vertical="bottom"/>
    </xf>
    <xf borderId="28" fillId="2" fontId="16" numFmtId="165" xfId="0" applyAlignment="1" applyBorder="1" applyFont="1" applyNumberFormat="1">
      <alignment horizontal="right" readingOrder="0" vertical="bottom"/>
    </xf>
    <xf borderId="21" fillId="2" fontId="16" numFmtId="165" xfId="0" applyAlignment="1" applyBorder="1" applyFont="1" applyNumberFormat="1">
      <alignment horizontal="right" readingOrder="0" vertical="bottom"/>
    </xf>
    <xf borderId="21" fillId="2" fontId="7" numFmtId="165" xfId="0" applyAlignment="1" applyBorder="1" applyFont="1" applyNumberFormat="1">
      <alignment horizontal="right" vertical="bottom"/>
    </xf>
    <xf borderId="22" fillId="2" fontId="16" numFmtId="165" xfId="0" applyAlignment="1" applyBorder="1" applyFont="1" applyNumberFormat="1">
      <alignment horizontal="right" readingOrder="0" vertical="bottom"/>
    </xf>
    <xf borderId="14" fillId="2" fontId="7" numFmtId="165" xfId="0" applyAlignment="1" applyBorder="1" applyFont="1" applyNumberFormat="1">
      <alignment horizontal="right" vertical="bottom"/>
    </xf>
    <xf borderId="14" fillId="2" fontId="16" numFmtId="0" xfId="0" applyAlignment="1" applyBorder="1" applyFont="1">
      <alignment horizontal="center" readingOrder="0" vertical="bottom"/>
    </xf>
    <xf borderId="20" fillId="2" fontId="17" numFmtId="165" xfId="0" applyAlignment="1" applyBorder="1" applyFont="1" applyNumberFormat="1">
      <alignment horizontal="center" vertical="bottom"/>
    </xf>
    <xf borderId="21" fillId="2" fontId="17" numFmtId="165" xfId="0" applyAlignment="1" applyBorder="1" applyFont="1" applyNumberFormat="1">
      <alignment horizontal="center" vertical="bottom"/>
    </xf>
    <xf borderId="22" fillId="2" fontId="17" numFmtId="165" xfId="0" applyAlignment="1" applyBorder="1" applyFont="1" applyNumberFormat="1">
      <alignment horizontal="center" vertical="bottom"/>
    </xf>
    <xf borderId="14" fillId="2" fontId="17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horizontal="center" vertical="center"/>
    </xf>
    <xf borderId="0" fillId="0" fontId="10" numFmtId="0" xfId="0" applyAlignment="1" applyFont="1">
      <alignment horizontal="center"/>
    </xf>
    <xf borderId="14" fillId="0" fontId="12" numFmtId="16" xfId="0" applyAlignment="1" applyBorder="1" applyFont="1" applyNumberFormat="1">
      <alignment horizontal="center" vertical="center"/>
    </xf>
    <xf borderId="20" fillId="0" fontId="12" numFmtId="164" xfId="0" applyAlignment="1" applyBorder="1" applyFont="1" applyNumberFormat="1">
      <alignment horizontal="center" vertical="center"/>
    </xf>
    <xf borderId="21" fillId="0" fontId="12" numFmtId="164" xfId="0" applyAlignment="1" applyBorder="1" applyFont="1" applyNumberFormat="1">
      <alignment horizontal="center" readingOrder="0" vertical="center"/>
    </xf>
    <xf borderId="21" fillId="0" fontId="12" numFmtId="164" xfId="0" applyAlignment="1" applyBorder="1" applyFont="1" applyNumberFormat="1">
      <alignment horizontal="center" vertical="center"/>
    </xf>
    <xf borderId="21" fillId="0" fontId="18" numFmtId="164" xfId="0" applyAlignment="1" applyBorder="1" applyFont="1" applyNumberFormat="1">
      <alignment horizontal="center" vertical="center"/>
    </xf>
    <xf borderId="22" fillId="0" fontId="18" numFmtId="164" xfId="0" applyAlignment="1" applyBorder="1" applyFont="1" applyNumberFormat="1">
      <alignment horizontal="center" vertical="center"/>
    </xf>
    <xf borderId="22" fillId="0" fontId="12" numFmtId="164" xfId="0" applyAlignment="1" applyBorder="1" applyFont="1" applyNumberFormat="1">
      <alignment horizontal="center" vertical="center"/>
    </xf>
    <xf borderId="23" fillId="0" fontId="12" numFmtId="164" xfId="0" applyAlignment="1" applyBorder="1" applyFont="1" applyNumberFormat="1">
      <alignment horizontal="center" vertical="center"/>
    </xf>
    <xf borderId="19" fillId="0" fontId="18" numFmtId="164" xfId="0" applyAlignment="1" applyBorder="1" applyFont="1" applyNumberFormat="1">
      <alignment horizontal="center" vertical="center"/>
    </xf>
    <xf borderId="14" fillId="4" fontId="12" numFmtId="16" xfId="0" applyAlignment="1" applyBorder="1" applyFill="1" applyFont="1" applyNumberFormat="1">
      <alignment horizontal="center" vertical="center"/>
    </xf>
    <xf borderId="2" fillId="4" fontId="19" numFmtId="164" xfId="0" applyAlignment="1" applyBorder="1" applyFont="1" applyNumberFormat="1">
      <alignment horizontal="center" vertical="center"/>
    </xf>
    <xf borderId="19" fillId="4" fontId="18" numFmtId="164" xfId="0" applyAlignment="1" applyBorder="1" applyFont="1" applyNumberFormat="1">
      <alignment horizontal="center" vertical="center"/>
    </xf>
    <xf borderId="20" fillId="0" fontId="12" numFmtId="164" xfId="0" applyAlignment="1" applyBorder="1" applyFont="1" applyNumberFormat="1">
      <alignment horizontal="center" readingOrder="0" vertical="center"/>
    </xf>
    <xf borderId="23" fillId="0" fontId="12" numFmtId="164" xfId="0" applyAlignment="1" applyBorder="1" applyFont="1" applyNumberFormat="1">
      <alignment horizontal="center" readingOrder="0" vertical="center"/>
    </xf>
    <xf borderId="14" fillId="3" fontId="12" numFmtId="16" xfId="0" applyAlignment="1" applyBorder="1" applyFont="1" applyNumberFormat="1">
      <alignment horizontal="center" vertical="center"/>
    </xf>
    <xf borderId="20" fillId="3" fontId="12" numFmtId="164" xfId="0" applyAlignment="1" applyBorder="1" applyFont="1" applyNumberFormat="1">
      <alignment horizontal="center" readingOrder="0" vertical="center"/>
    </xf>
    <xf borderId="21" fillId="3" fontId="12" numFmtId="164" xfId="0" applyAlignment="1" applyBorder="1" applyFont="1" applyNumberFormat="1">
      <alignment horizontal="center" readingOrder="0" vertical="center"/>
    </xf>
    <xf borderId="21" fillId="3" fontId="12" numFmtId="164" xfId="0" applyAlignment="1" applyBorder="1" applyFont="1" applyNumberFormat="1">
      <alignment horizontal="center" vertical="center"/>
    </xf>
    <xf borderId="21" fillId="3" fontId="18" numFmtId="164" xfId="0" applyAlignment="1" applyBorder="1" applyFont="1" applyNumberFormat="1">
      <alignment horizontal="center" vertical="center"/>
    </xf>
    <xf borderId="22" fillId="3" fontId="18" numFmtId="164" xfId="0" applyAlignment="1" applyBorder="1" applyFont="1" applyNumberFormat="1">
      <alignment horizontal="center" vertical="center"/>
    </xf>
    <xf borderId="22" fillId="3" fontId="12" numFmtId="164" xfId="0" applyAlignment="1" applyBorder="1" applyFont="1" applyNumberFormat="1">
      <alignment horizontal="center" vertical="center"/>
    </xf>
    <xf borderId="23" fillId="3" fontId="12" numFmtId="164" xfId="0" applyAlignment="1" applyBorder="1" applyFont="1" applyNumberFormat="1">
      <alignment horizontal="center" vertical="center"/>
    </xf>
    <xf borderId="19" fillId="3" fontId="18" numFmtId="164" xfId="0" applyAlignment="1" applyBorder="1" applyFont="1" applyNumberFormat="1">
      <alignment horizontal="center" vertical="center"/>
    </xf>
    <xf borderId="14" fillId="4" fontId="12" numFmtId="16" xfId="0" applyAlignment="1" applyBorder="1" applyFont="1" applyNumberFormat="1">
      <alignment horizontal="center" readingOrder="0" vertical="center"/>
    </xf>
    <xf borderId="31" fillId="4" fontId="19" numFmtId="164" xfId="0" applyAlignment="1" applyBorder="1" applyFont="1" applyNumberFormat="1">
      <alignment horizontal="center" readingOrder="0" vertical="center"/>
    </xf>
    <xf borderId="31" fillId="0" fontId="4" numFmtId="0" xfId="0" applyBorder="1" applyFont="1"/>
    <xf borderId="8" fillId="0" fontId="4" numFmtId="0" xfId="0" applyBorder="1" applyFont="1"/>
    <xf borderId="32" fillId="0" fontId="4" numFmtId="0" xfId="0" applyBorder="1" applyFont="1"/>
    <xf borderId="23" fillId="3" fontId="12" numFmtId="164" xfId="0" applyAlignment="1" applyBorder="1" applyFont="1" applyNumberFormat="1">
      <alignment horizontal="center" readingOrder="0" vertical="center"/>
    </xf>
    <xf borderId="22" fillId="0" fontId="12" numFmtId="164" xfId="0" applyAlignment="1" applyBorder="1" applyFont="1" applyNumberFormat="1">
      <alignment horizontal="center" readingOrder="0" vertical="center"/>
    </xf>
    <xf borderId="22" fillId="3" fontId="12" numFmtId="164" xfId="0" applyAlignment="1" applyBorder="1" applyFont="1" applyNumberFormat="1">
      <alignment horizontal="center" readingOrder="0" vertical="center"/>
    </xf>
    <xf borderId="19" fillId="0" fontId="8" numFmtId="164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19" fillId="0" fontId="12" numFmtId="16" xfId="0" applyAlignment="1" applyBorder="1" applyFont="1" applyNumberFormat="1">
      <alignment horizontal="center" vertical="center"/>
    </xf>
    <xf borderId="33" fillId="0" fontId="12" numFmtId="164" xfId="0" applyAlignment="1" applyBorder="1" applyFont="1" applyNumberFormat="1">
      <alignment horizontal="center" vertical="center"/>
    </xf>
    <xf borderId="28" fillId="2" fontId="7" numFmtId="165" xfId="0" applyAlignment="1" applyBorder="1" applyFont="1" applyNumberFormat="1">
      <alignment horizontal="center" vertical="bottom"/>
    </xf>
    <xf borderId="21" fillId="2" fontId="7" numFmtId="165" xfId="0" applyAlignment="1" applyBorder="1" applyFont="1" applyNumberFormat="1">
      <alignment horizontal="center" vertical="bottom"/>
    </xf>
    <xf borderId="23" fillId="2" fontId="7" numFmtId="165" xfId="0" applyAlignment="1" applyBorder="1" applyFont="1" applyNumberFormat="1">
      <alignment horizontal="center" vertical="bottom"/>
    </xf>
    <xf borderId="3" fillId="2" fontId="7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28" fillId="2" fontId="16" numFmtId="165" xfId="0" applyAlignment="1" applyBorder="1" applyFont="1" applyNumberFormat="1">
      <alignment horizontal="center" readingOrder="0" vertical="bottom"/>
    </xf>
    <xf borderId="21" fillId="2" fontId="16" numFmtId="165" xfId="0" applyAlignment="1" applyBorder="1" applyFont="1" applyNumberFormat="1">
      <alignment horizontal="center" readingOrder="0" vertical="bottom"/>
    </xf>
    <xf borderId="22" fillId="2" fontId="16" numFmtId="165" xfId="0" applyAlignment="1" applyBorder="1" applyFont="1" applyNumberFormat="1">
      <alignment horizontal="center" readingOrder="0" vertical="bottom"/>
    </xf>
    <xf borderId="14" fillId="2" fontId="7" numFmtId="165" xfId="0" applyAlignment="1" applyBorder="1" applyFont="1" applyNumberFormat="1">
      <alignment horizontal="center" vertical="bottom"/>
    </xf>
    <xf borderId="4" fillId="2" fontId="6" numFmtId="0" xfId="0" applyAlignment="1" applyBorder="1" applyFont="1">
      <alignment horizontal="center" vertical="center"/>
    </xf>
    <xf borderId="28" fillId="2" fontId="7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  <xf borderId="23" fillId="2" fontId="7" numFmtId="0" xfId="0" applyAlignment="1" applyBorder="1" applyFont="1">
      <alignment horizontal="center" vertical="center"/>
    </xf>
    <xf borderId="34" fillId="0" fontId="12" numFmtId="164" xfId="0" applyAlignment="1" applyBorder="1" applyFont="1" applyNumberFormat="1">
      <alignment horizontal="center" readingOrder="0" vertical="center"/>
    </xf>
    <xf borderId="35" fillId="0" fontId="12" numFmtId="164" xfId="0" applyAlignment="1" applyBorder="1" applyFont="1" applyNumberFormat="1">
      <alignment horizontal="center" readingOrder="0" vertical="center"/>
    </xf>
    <xf borderId="35" fillId="0" fontId="12" numFmtId="164" xfId="0" applyAlignment="1" applyBorder="1" applyFont="1" applyNumberFormat="1">
      <alignment horizontal="center" vertical="center"/>
    </xf>
    <xf borderId="35" fillId="0" fontId="18" numFmtId="164" xfId="0" applyAlignment="1" applyBorder="1" applyFont="1" applyNumberFormat="1">
      <alignment horizontal="center" vertical="center"/>
    </xf>
    <xf borderId="36" fillId="0" fontId="18" numFmtId="164" xfId="0" applyAlignment="1" applyBorder="1" applyFont="1" applyNumberFormat="1">
      <alignment horizontal="center" vertical="center"/>
    </xf>
    <xf borderId="36" fillId="0" fontId="12" numFmtId="164" xfId="0" applyAlignment="1" applyBorder="1" applyFont="1" applyNumberFormat="1">
      <alignment horizontal="center" vertical="center"/>
    </xf>
    <xf borderId="37" fillId="0" fontId="12" numFmtId="164" xfId="0" applyAlignment="1" applyBorder="1" applyFont="1" applyNumberFormat="1">
      <alignment horizontal="center" vertical="center"/>
    </xf>
    <xf borderId="4" fillId="0" fontId="18" numFmtId="164" xfId="0" applyAlignment="1" applyBorder="1" applyFont="1" applyNumberFormat="1">
      <alignment horizontal="center" vertical="center"/>
    </xf>
    <xf borderId="14" fillId="5" fontId="12" numFmtId="16" xfId="0" applyAlignment="1" applyBorder="1" applyFill="1" applyFont="1" applyNumberFormat="1">
      <alignment horizontal="center" vertical="center"/>
    </xf>
    <xf borderId="20" fillId="5" fontId="12" numFmtId="164" xfId="0" applyAlignment="1" applyBorder="1" applyFont="1" applyNumberFormat="1">
      <alignment horizontal="center" readingOrder="0" vertical="center"/>
    </xf>
    <xf borderId="21" fillId="5" fontId="12" numFmtId="164" xfId="0" applyAlignment="1" applyBorder="1" applyFont="1" applyNumberFormat="1">
      <alignment horizontal="center" readingOrder="0" vertical="center"/>
    </xf>
    <xf borderId="21" fillId="5" fontId="12" numFmtId="164" xfId="0" applyAlignment="1" applyBorder="1" applyFont="1" applyNumberFormat="1">
      <alignment horizontal="center" vertical="center"/>
    </xf>
    <xf borderId="21" fillId="5" fontId="18" numFmtId="164" xfId="0" applyAlignment="1" applyBorder="1" applyFont="1" applyNumberFormat="1">
      <alignment horizontal="center" vertical="center"/>
    </xf>
    <xf borderId="22" fillId="5" fontId="18" numFmtId="164" xfId="0" applyAlignment="1" applyBorder="1" applyFont="1" applyNumberFormat="1">
      <alignment horizontal="center" vertical="center"/>
    </xf>
    <xf borderId="22" fillId="5" fontId="12" numFmtId="164" xfId="0" applyAlignment="1" applyBorder="1" applyFont="1" applyNumberFormat="1">
      <alignment horizontal="center" vertical="center"/>
    </xf>
    <xf borderId="23" fillId="5" fontId="12" numFmtId="164" xfId="0" applyAlignment="1" applyBorder="1" applyFont="1" applyNumberFormat="1">
      <alignment horizontal="center" vertical="center"/>
    </xf>
    <xf borderId="4" fillId="5" fontId="18" numFmtId="164" xfId="0" applyAlignment="1" applyBorder="1" applyFont="1" applyNumberFormat="1">
      <alignment horizontal="center" vertical="center"/>
    </xf>
    <xf borderId="24" fillId="0" fontId="12" numFmtId="16" xfId="0" applyAlignment="1" applyBorder="1" applyFont="1" applyNumberFormat="1">
      <alignment horizontal="center" vertical="center"/>
    </xf>
    <xf borderId="38" fillId="0" fontId="8" numFmtId="164" xfId="0" applyAlignment="1" applyBorder="1" applyFont="1" applyNumberFormat="1">
      <alignment vertical="center"/>
    </xf>
    <xf borderId="21" fillId="2" fontId="7" numFmtId="164" xfId="0" applyAlignment="1" applyBorder="1" applyFont="1" applyNumberFormat="1">
      <alignment horizontal="center" vertical="center"/>
    </xf>
    <xf borderId="23" fillId="2" fontId="7" numFmtId="164" xfId="0" applyAlignment="1" applyBorder="1" applyFont="1" applyNumberFormat="1">
      <alignment horizontal="center" vertical="center"/>
    </xf>
    <xf borderId="14" fillId="2" fontId="7" numFmtId="164" xfId="0" applyAlignment="1" applyBorder="1" applyFont="1" applyNumberFormat="1">
      <alignment horizontal="center" vertical="center"/>
    </xf>
    <xf borderId="19" fillId="0" fontId="10" numFmtId="16" xfId="0" applyAlignment="1" applyBorder="1" applyFont="1" applyNumberFormat="1">
      <alignment horizontal="center" vertical="center"/>
    </xf>
    <xf borderId="14" fillId="0" fontId="11" numFmtId="16" xfId="0" applyAlignment="1" applyBorder="1" applyFont="1" applyNumberFormat="1">
      <alignment horizontal="center" vertical="center"/>
    </xf>
    <xf borderId="24" fillId="0" fontId="11" numFmtId="16" xfId="0" applyAlignment="1" applyBorder="1" applyFont="1" applyNumberFormat="1">
      <alignment horizontal="center" vertical="center"/>
    </xf>
    <xf borderId="20" fillId="0" fontId="10" numFmtId="164" xfId="0" applyAlignment="1" applyBorder="1" applyFont="1" applyNumberFormat="1">
      <alignment horizontal="center" vertical="center"/>
    </xf>
    <xf borderId="21" fillId="0" fontId="10" numFmtId="164" xfId="0" applyAlignment="1" applyBorder="1" applyFont="1" applyNumberFormat="1">
      <alignment horizontal="center" vertical="center"/>
    </xf>
    <xf borderId="22" fillId="0" fontId="10" numFmtId="164" xfId="0" applyAlignment="1" applyBorder="1" applyFont="1" applyNumberFormat="1">
      <alignment horizontal="center" vertical="center"/>
    </xf>
    <xf borderId="23" fillId="0" fontId="10" numFmtId="164" xfId="0" applyAlignment="1" applyBorder="1" applyFont="1" applyNumberFormat="1">
      <alignment horizontal="center" vertical="center"/>
    </xf>
    <xf borderId="29" fillId="0" fontId="10" numFmtId="164" xfId="0" applyAlignment="1" applyBorder="1" applyFont="1" applyNumberFormat="1">
      <alignment horizontal="center" vertical="center"/>
    </xf>
    <xf borderId="11" fillId="0" fontId="10" numFmtId="164" xfId="0" applyAlignment="1" applyBorder="1" applyFont="1" applyNumberFormat="1">
      <alignment horizontal="center" vertical="center"/>
    </xf>
    <xf borderId="11" fillId="0" fontId="11" numFmtId="164" xfId="0" applyAlignment="1" applyBorder="1" applyFont="1" applyNumberFormat="1">
      <alignment horizontal="center" vertical="center"/>
    </xf>
    <xf borderId="30" fillId="0" fontId="11" numFmtId="164" xfId="0" applyAlignment="1" applyBorder="1" applyFont="1" applyNumberFormat="1">
      <alignment horizontal="center" vertical="center"/>
    </xf>
    <xf borderId="30" fillId="0" fontId="10" numFmtId="164" xfId="0" applyAlignment="1" applyBorder="1" applyFont="1" applyNumberFormat="1">
      <alignment horizontal="center" vertical="center"/>
    </xf>
    <xf borderId="12" fillId="0" fontId="10" numFmtId="164" xfId="0" applyAlignment="1" applyBorder="1" applyFont="1" applyNumberFormat="1">
      <alignment horizontal="center" vertical="center"/>
    </xf>
    <xf borderId="15" fillId="0" fontId="10" numFmtId="164" xfId="0" applyAlignment="1" applyBorder="1" applyFont="1" applyNumberFormat="1">
      <alignment horizontal="center" vertical="center"/>
    </xf>
    <xf borderId="16" fillId="0" fontId="10" numFmtId="164" xfId="0" applyAlignment="1" applyBorder="1" applyFont="1" applyNumberFormat="1">
      <alignment horizontal="center" vertical="center"/>
    </xf>
    <xf borderId="17" fillId="0" fontId="10" numFmtId="164" xfId="0" applyAlignment="1" applyBorder="1" applyFont="1" applyNumberFormat="1">
      <alignment horizontal="center" vertical="center"/>
    </xf>
    <xf borderId="18" fillId="0" fontId="10" numFmtId="164" xfId="0" applyAlignment="1" applyBorder="1" applyFont="1" applyNumberFormat="1">
      <alignment horizontal="center" vertical="center"/>
    </xf>
    <xf borderId="14" fillId="0" fontId="11" numFmtId="0" xfId="0" applyAlignment="1" applyBorder="1" applyFont="1">
      <alignment horizontal="center" vertical="center"/>
    </xf>
    <xf borderId="39" fillId="0" fontId="11" numFmtId="164" xfId="0" applyAlignment="1" applyBorder="1" applyFont="1" applyNumberFormat="1">
      <alignment horizontal="center" vertical="center"/>
    </xf>
    <xf borderId="40" fillId="0" fontId="11" numFmtId="164" xfId="0" applyAlignment="1" applyBorder="1" applyFont="1" applyNumberFormat="1">
      <alignment horizontal="center" vertical="center"/>
    </xf>
    <xf borderId="41" fillId="0" fontId="11" numFmtId="164" xfId="0" applyAlignment="1" applyBorder="1" applyFont="1" applyNumberFormat="1">
      <alignment horizontal="center" vertical="center"/>
    </xf>
    <xf borderId="33" fillId="0" fontId="1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3.25"/>
    <col customWidth="1" min="12" max="12" width="11.63"/>
    <col customWidth="1" min="13" max="25" width="10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33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5"/>
      <c r="L2" s="2"/>
    </row>
    <row r="3" ht="18.0" customHeight="1">
      <c r="A3" s="6" t="s">
        <v>1</v>
      </c>
      <c r="B3" s="7" t="s">
        <v>2</v>
      </c>
      <c r="C3" s="8"/>
      <c r="D3" s="8"/>
      <c r="E3" s="8"/>
      <c r="F3" s="8"/>
      <c r="G3" s="8"/>
      <c r="H3" s="8"/>
      <c r="I3" s="8"/>
      <c r="J3" s="9"/>
      <c r="K3" s="10" t="s">
        <v>3</v>
      </c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8.0" customHeight="1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6" t="s">
        <v>12</v>
      </c>
      <c r="K4" s="17"/>
      <c r="L4" s="2"/>
    </row>
    <row r="5" ht="18.0" customHeight="1">
      <c r="A5" s="18">
        <v>45992.0</v>
      </c>
      <c r="B5" s="19">
        <v>68.2</v>
      </c>
      <c r="C5" s="20">
        <v>1339.3</v>
      </c>
      <c r="D5" s="21"/>
      <c r="E5" s="21"/>
      <c r="F5" s="21"/>
      <c r="G5" s="21"/>
      <c r="H5" s="22"/>
      <c r="I5" s="23">
        <v>274.2</v>
      </c>
      <c r="J5" s="24"/>
      <c r="K5" s="25">
        <f t="shared" ref="K5:K35" si="1">SUM(B5:J5)</f>
        <v>1681.7</v>
      </c>
      <c r="L5" s="26" t="s">
        <v>13</v>
      </c>
      <c r="M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ht="18.0" customHeight="1">
      <c r="A6" s="18">
        <v>45993.0</v>
      </c>
      <c r="B6" s="28">
        <v>112.5</v>
      </c>
      <c r="C6" s="29">
        <v>2129.4</v>
      </c>
      <c r="D6" s="29">
        <v>25.5</v>
      </c>
      <c r="E6" s="29">
        <v>204.8</v>
      </c>
      <c r="F6" s="30"/>
      <c r="G6" s="30"/>
      <c r="H6" s="31"/>
      <c r="I6" s="32">
        <v>127.4</v>
      </c>
      <c r="J6" s="33">
        <v>33.0</v>
      </c>
      <c r="K6" s="25">
        <f t="shared" si="1"/>
        <v>2632.6</v>
      </c>
      <c r="L6" s="34"/>
      <c r="M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ht="18.0" customHeight="1">
      <c r="A7" s="18">
        <v>45994.0</v>
      </c>
      <c r="B7" s="28">
        <v>231.2</v>
      </c>
      <c r="C7" s="29">
        <v>1865.8</v>
      </c>
      <c r="D7" s="30"/>
      <c r="E7" s="29">
        <v>57.0</v>
      </c>
      <c r="F7" s="30"/>
      <c r="G7" s="30"/>
      <c r="H7" s="31"/>
      <c r="I7" s="32">
        <v>35.4</v>
      </c>
      <c r="J7" s="33">
        <v>67.4</v>
      </c>
      <c r="K7" s="25">
        <f t="shared" si="1"/>
        <v>2256.8</v>
      </c>
      <c r="L7" s="35"/>
      <c r="M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ht="18.0" customHeight="1">
      <c r="A8" s="36">
        <v>45995.0</v>
      </c>
      <c r="B8" s="19">
        <v>55.4</v>
      </c>
      <c r="C8" s="20">
        <v>1525.8</v>
      </c>
      <c r="D8" s="21"/>
      <c r="E8" s="20">
        <v>136.2</v>
      </c>
      <c r="F8" s="21"/>
      <c r="G8" s="21"/>
      <c r="H8" s="22"/>
      <c r="I8" s="22"/>
      <c r="J8" s="37">
        <v>225.2</v>
      </c>
      <c r="K8" s="25">
        <f t="shared" si="1"/>
        <v>1942.6</v>
      </c>
      <c r="L8" s="38">
        <f>SUM(K5:K11)</f>
        <v>13818.6</v>
      </c>
      <c r="M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ht="18.0" customHeight="1">
      <c r="A9" s="39">
        <v>45996.0</v>
      </c>
      <c r="B9" s="28">
        <v>50.4</v>
      </c>
      <c r="C9" s="29">
        <v>427.6</v>
      </c>
      <c r="D9" s="29">
        <v>22.4</v>
      </c>
      <c r="E9" s="29">
        <v>27.9</v>
      </c>
      <c r="F9" s="30"/>
      <c r="G9" s="30"/>
      <c r="H9" s="31"/>
      <c r="I9" s="31"/>
      <c r="J9" s="40"/>
      <c r="K9" s="25">
        <f t="shared" si="1"/>
        <v>528.3</v>
      </c>
      <c r="L9" s="34"/>
      <c r="M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ht="18.0" customHeight="1">
      <c r="A10" s="18">
        <v>45997.0</v>
      </c>
      <c r="B10" s="28">
        <v>88.2</v>
      </c>
      <c r="C10" s="29">
        <v>1572.0</v>
      </c>
      <c r="D10" s="30"/>
      <c r="E10" s="30"/>
      <c r="F10" s="30"/>
      <c r="G10" s="30"/>
      <c r="H10" s="31"/>
      <c r="I10" s="32">
        <v>299.7</v>
      </c>
      <c r="J10" s="40"/>
      <c r="K10" s="25">
        <f t="shared" si="1"/>
        <v>1959.9</v>
      </c>
      <c r="L10" s="34"/>
      <c r="M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ht="18.0" customHeight="1">
      <c r="A11" s="41">
        <v>45998.0</v>
      </c>
      <c r="B11" s="42">
        <v>157.9</v>
      </c>
      <c r="C11" s="43">
        <v>2163.5</v>
      </c>
      <c r="D11" s="43">
        <v>128.5</v>
      </c>
      <c r="E11" s="44"/>
      <c r="F11" s="44"/>
      <c r="G11" s="44"/>
      <c r="H11" s="45"/>
      <c r="I11" s="46">
        <v>251.8</v>
      </c>
      <c r="J11" s="47">
        <v>115.0</v>
      </c>
      <c r="K11" s="48">
        <f t="shared" si="1"/>
        <v>2816.7</v>
      </c>
      <c r="L11" s="49"/>
      <c r="M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ht="18.0" customHeight="1">
      <c r="A12" s="18">
        <v>45999.0</v>
      </c>
      <c r="B12" s="19">
        <v>156.3</v>
      </c>
      <c r="C12" s="20">
        <v>1070.0</v>
      </c>
      <c r="D12" s="20">
        <v>56.3</v>
      </c>
      <c r="E12" s="20">
        <v>24.9</v>
      </c>
      <c r="F12" s="21"/>
      <c r="G12" s="21"/>
      <c r="H12" s="22"/>
      <c r="I12" s="23">
        <v>225.2</v>
      </c>
      <c r="J12" s="24"/>
      <c r="K12" s="25">
        <f t="shared" si="1"/>
        <v>1532.7</v>
      </c>
      <c r="L12" s="26" t="s">
        <v>13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ht="18.0" customHeight="1">
      <c r="A13" s="18">
        <v>46000.0</v>
      </c>
      <c r="B13" s="28">
        <v>140.7</v>
      </c>
      <c r="C13" s="29">
        <v>967.1</v>
      </c>
      <c r="D13" s="29">
        <v>47.4</v>
      </c>
      <c r="E13" s="29">
        <v>16.6</v>
      </c>
      <c r="F13" s="30"/>
      <c r="G13" s="30"/>
      <c r="H13" s="31"/>
      <c r="I13" s="32">
        <v>120.9</v>
      </c>
      <c r="J13" s="33">
        <v>56.0</v>
      </c>
      <c r="K13" s="25">
        <f t="shared" si="1"/>
        <v>1348.7</v>
      </c>
      <c r="L13" s="34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ht="18.0" customHeight="1">
      <c r="A14" s="18">
        <v>46001.0</v>
      </c>
      <c r="B14" s="28">
        <v>140.5</v>
      </c>
      <c r="C14" s="29">
        <v>2472.3</v>
      </c>
      <c r="D14" s="29">
        <v>18.0</v>
      </c>
      <c r="E14" s="29">
        <v>8.0</v>
      </c>
      <c r="F14" s="30"/>
      <c r="G14" s="30"/>
      <c r="H14" s="31"/>
      <c r="I14" s="32">
        <v>102.3</v>
      </c>
      <c r="J14" s="33">
        <v>20.0</v>
      </c>
      <c r="K14" s="25">
        <f t="shared" si="1"/>
        <v>2761.1</v>
      </c>
      <c r="L14" s="35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t="18.0" customHeight="1">
      <c r="A15" s="36">
        <v>46002.0</v>
      </c>
      <c r="B15" s="19">
        <v>142.04</v>
      </c>
      <c r="C15" s="20">
        <v>1530.36</v>
      </c>
      <c r="D15" s="20">
        <v>40.0</v>
      </c>
      <c r="E15" s="20">
        <v>116.9</v>
      </c>
      <c r="F15" s="21"/>
      <c r="G15" s="21"/>
      <c r="H15" s="22"/>
      <c r="I15" s="23">
        <v>128.9</v>
      </c>
      <c r="J15" s="37">
        <v>24.5</v>
      </c>
      <c r="K15" s="25">
        <f t="shared" si="1"/>
        <v>1982.7</v>
      </c>
      <c r="L15" s="38">
        <f>SUM(K12:K18)</f>
        <v>13065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8.0" customHeight="1">
      <c r="A16" s="39">
        <v>46003.0</v>
      </c>
      <c r="B16" s="28">
        <v>31.5</v>
      </c>
      <c r="C16" s="29">
        <v>840.0</v>
      </c>
      <c r="D16" s="30"/>
      <c r="E16" s="30"/>
      <c r="F16" s="30"/>
      <c r="G16" s="30"/>
      <c r="H16" s="31"/>
      <c r="I16" s="32">
        <v>23.4</v>
      </c>
      <c r="J16" s="40"/>
      <c r="K16" s="25">
        <f t="shared" si="1"/>
        <v>894.9</v>
      </c>
      <c r="L16" s="34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ht="18.0" customHeight="1">
      <c r="A17" s="18">
        <v>46004.0</v>
      </c>
      <c r="B17" s="28">
        <v>171.4</v>
      </c>
      <c r="C17" s="29">
        <v>1533.3</v>
      </c>
      <c r="D17" s="30"/>
      <c r="E17" s="30"/>
      <c r="F17" s="30"/>
      <c r="G17" s="30"/>
      <c r="H17" s="31"/>
      <c r="I17" s="32">
        <v>124.2</v>
      </c>
      <c r="J17" s="40"/>
      <c r="K17" s="25">
        <f t="shared" si="1"/>
        <v>1828.9</v>
      </c>
      <c r="L17" s="34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ht="18.0" customHeight="1">
      <c r="A18" s="41">
        <v>46005.0</v>
      </c>
      <c r="B18" s="42">
        <v>172.6</v>
      </c>
      <c r="C18" s="43">
        <v>2038.4</v>
      </c>
      <c r="D18" s="44"/>
      <c r="E18" s="44"/>
      <c r="F18" s="44"/>
      <c r="G18" s="43">
        <v>46.9</v>
      </c>
      <c r="H18" s="45"/>
      <c r="I18" s="46">
        <v>441.7</v>
      </c>
      <c r="J18" s="47">
        <v>16.4</v>
      </c>
      <c r="K18" s="48">
        <f t="shared" si="1"/>
        <v>2716</v>
      </c>
      <c r="L18" s="4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18.0" customHeight="1">
      <c r="A19" s="18">
        <v>45703.0</v>
      </c>
      <c r="B19" s="19">
        <v>331.95</v>
      </c>
      <c r="C19" s="20">
        <v>1003.85</v>
      </c>
      <c r="D19" s="20">
        <v>16.5</v>
      </c>
      <c r="E19" s="21"/>
      <c r="F19" s="21"/>
      <c r="G19" s="21"/>
      <c r="H19" s="22"/>
      <c r="I19" s="23">
        <v>70.5</v>
      </c>
      <c r="J19" s="37">
        <v>26.4</v>
      </c>
      <c r="K19" s="25">
        <f t="shared" si="1"/>
        <v>1449.2</v>
      </c>
      <c r="L19" s="26" t="s">
        <v>13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t="18.0" customHeight="1">
      <c r="A20" s="18">
        <v>46007.0</v>
      </c>
      <c r="B20" s="28">
        <v>37.5</v>
      </c>
      <c r="C20" s="29">
        <v>2692.5</v>
      </c>
      <c r="D20" s="29">
        <v>46.4</v>
      </c>
      <c r="E20" s="30"/>
      <c r="F20" s="30"/>
      <c r="G20" s="30"/>
      <c r="H20" s="31"/>
      <c r="I20" s="32">
        <v>173.8</v>
      </c>
      <c r="J20" s="40"/>
      <c r="K20" s="25">
        <f t="shared" si="1"/>
        <v>2950.2</v>
      </c>
      <c r="L20" s="34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18.0" customHeight="1">
      <c r="A21" s="18">
        <v>46008.0</v>
      </c>
      <c r="B21" s="28">
        <v>149.2</v>
      </c>
      <c r="C21" s="29">
        <v>1853.0</v>
      </c>
      <c r="D21" s="29">
        <v>91.5</v>
      </c>
      <c r="E21" s="29">
        <v>42.9</v>
      </c>
      <c r="F21" s="30"/>
      <c r="G21" s="30"/>
      <c r="H21" s="31"/>
      <c r="I21" s="32">
        <v>253.8</v>
      </c>
      <c r="J21" s="40"/>
      <c r="K21" s="25">
        <f t="shared" si="1"/>
        <v>2390.4</v>
      </c>
      <c r="L21" s="35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ht="18.0" customHeight="1">
      <c r="A22" s="18">
        <v>46009.0</v>
      </c>
      <c r="B22" s="19">
        <v>159.48</v>
      </c>
      <c r="C22" s="20">
        <v>1562.1</v>
      </c>
      <c r="D22" s="20">
        <v>61.5</v>
      </c>
      <c r="E22" s="20">
        <v>161.0</v>
      </c>
      <c r="F22" s="21"/>
      <c r="G22" s="21"/>
      <c r="H22" s="22"/>
      <c r="I22" s="23">
        <v>179.4</v>
      </c>
      <c r="J22" s="24"/>
      <c r="K22" s="25">
        <f t="shared" si="1"/>
        <v>2123.48</v>
      </c>
      <c r="L22" s="38">
        <f>SUM(K19:K25)</f>
        <v>13033.17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ht="18.0" customHeight="1">
      <c r="A23" s="39">
        <v>46010.0</v>
      </c>
      <c r="B23" s="28">
        <v>45.2</v>
      </c>
      <c r="C23" s="29">
        <v>282.7</v>
      </c>
      <c r="D23" s="30"/>
      <c r="E23" s="29">
        <v>24.9</v>
      </c>
      <c r="F23" s="30"/>
      <c r="G23" s="30"/>
      <c r="H23" s="31"/>
      <c r="I23" s="32">
        <v>341.9</v>
      </c>
      <c r="J23" s="40"/>
      <c r="K23" s="25">
        <f t="shared" si="1"/>
        <v>694.7</v>
      </c>
      <c r="L23" s="34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ht="18.0" customHeight="1">
      <c r="A24" s="18">
        <v>46011.0</v>
      </c>
      <c r="B24" s="28">
        <v>85.9</v>
      </c>
      <c r="C24" s="29">
        <v>583.1</v>
      </c>
      <c r="D24" s="30"/>
      <c r="E24" s="30"/>
      <c r="F24" s="30"/>
      <c r="G24" s="30"/>
      <c r="H24" s="31"/>
      <c r="I24" s="32">
        <v>59.5</v>
      </c>
      <c r="J24" s="40"/>
      <c r="K24" s="25">
        <f t="shared" si="1"/>
        <v>728.5</v>
      </c>
      <c r="L24" s="34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ht="18.0" customHeight="1">
      <c r="A25" s="41">
        <v>46012.0</v>
      </c>
      <c r="B25" s="42">
        <v>340.6</v>
      </c>
      <c r="C25" s="43">
        <v>1745.19</v>
      </c>
      <c r="D25" s="43">
        <v>51.5</v>
      </c>
      <c r="E25" s="43">
        <v>139.5</v>
      </c>
      <c r="F25" s="44"/>
      <c r="G25" s="43">
        <v>30.0</v>
      </c>
      <c r="H25" s="45"/>
      <c r="I25" s="46">
        <v>340.5</v>
      </c>
      <c r="J25" s="47">
        <v>49.4</v>
      </c>
      <c r="K25" s="48">
        <f t="shared" si="1"/>
        <v>2696.69</v>
      </c>
      <c r="L25" s="4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ht="18.0" customHeight="1">
      <c r="A26" s="18">
        <v>46013.0</v>
      </c>
      <c r="B26" s="19">
        <v>210.35</v>
      </c>
      <c r="C26" s="20">
        <v>2467.05</v>
      </c>
      <c r="D26" s="20">
        <v>84.3</v>
      </c>
      <c r="E26" s="20">
        <v>65.5</v>
      </c>
      <c r="F26" s="21"/>
      <c r="G26" s="21"/>
      <c r="H26" s="22"/>
      <c r="I26" s="23">
        <v>111.5</v>
      </c>
      <c r="J26" s="24"/>
      <c r="K26" s="25">
        <f t="shared" si="1"/>
        <v>2938.7</v>
      </c>
      <c r="L26" s="26" t="s">
        <v>13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ht="18.0" customHeight="1">
      <c r="A27" s="18">
        <v>46014.0</v>
      </c>
      <c r="B27" s="28">
        <v>117.3</v>
      </c>
      <c r="C27" s="29">
        <v>1779.5</v>
      </c>
      <c r="D27" s="29">
        <v>72.4</v>
      </c>
      <c r="E27" s="30"/>
      <c r="F27" s="30"/>
      <c r="G27" s="30"/>
      <c r="H27" s="31"/>
      <c r="I27" s="32">
        <v>542.7</v>
      </c>
      <c r="J27" s="40"/>
      <c r="K27" s="25">
        <f t="shared" si="1"/>
        <v>2511.9</v>
      </c>
      <c r="L27" s="34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ht="18.0" customHeight="1">
      <c r="A28" s="18">
        <v>46015.0</v>
      </c>
      <c r="B28" s="28">
        <v>121.49</v>
      </c>
      <c r="C28" s="29">
        <v>2155.91</v>
      </c>
      <c r="D28" s="29">
        <v>75.4</v>
      </c>
      <c r="E28" s="30"/>
      <c r="F28" s="30"/>
      <c r="G28" s="30"/>
      <c r="H28" s="31"/>
      <c r="I28" s="32">
        <v>505.4</v>
      </c>
      <c r="J28" s="33">
        <v>50.5</v>
      </c>
      <c r="K28" s="25">
        <f t="shared" si="1"/>
        <v>2908.7</v>
      </c>
      <c r="L28" s="35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ht="18.0" customHeight="1">
      <c r="A29" s="36">
        <v>46016.0</v>
      </c>
      <c r="B29" s="50"/>
      <c r="C29" s="21"/>
      <c r="D29" s="21"/>
      <c r="E29" s="21"/>
      <c r="F29" s="21"/>
      <c r="G29" s="21"/>
      <c r="H29" s="22"/>
      <c r="I29" s="22"/>
      <c r="J29" s="24"/>
      <c r="K29" s="25">
        <f t="shared" si="1"/>
        <v>0</v>
      </c>
      <c r="L29" s="38">
        <f>SUM(K26:K32)</f>
        <v>11340.7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ht="18.0" customHeight="1">
      <c r="A30" s="39">
        <v>46017.0</v>
      </c>
      <c r="B30" s="51"/>
      <c r="C30" s="30"/>
      <c r="D30" s="30"/>
      <c r="E30" s="30"/>
      <c r="F30" s="30"/>
      <c r="G30" s="30"/>
      <c r="H30" s="31"/>
      <c r="I30" s="31"/>
      <c r="J30" s="40"/>
      <c r="K30" s="25">
        <f t="shared" si="1"/>
        <v>0</v>
      </c>
      <c r="L30" s="34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ht="18.0" customHeight="1">
      <c r="A31" s="18">
        <v>46018.0</v>
      </c>
      <c r="B31" s="28">
        <v>26.0</v>
      </c>
      <c r="C31" s="29">
        <v>697.6</v>
      </c>
      <c r="D31" s="30"/>
      <c r="E31" s="30"/>
      <c r="F31" s="30"/>
      <c r="G31" s="30"/>
      <c r="H31" s="31"/>
      <c r="I31" s="32">
        <v>399.7</v>
      </c>
      <c r="J31" s="40"/>
      <c r="K31" s="25">
        <f t="shared" si="1"/>
        <v>1123.3</v>
      </c>
      <c r="L31" s="34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t="18.0" customHeight="1">
      <c r="A32" s="41">
        <v>46019.0</v>
      </c>
      <c r="B32" s="42">
        <v>166.4</v>
      </c>
      <c r="C32" s="43">
        <v>1544.4</v>
      </c>
      <c r="D32" s="44"/>
      <c r="E32" s="44"/>
      <c r="F32" s="44"/>
      <c r="G32" s="44"/>
      <c r="H32" s="45"/>
      <c r="I32" s="46">
        <v>97.9</v>
      </c>
      <c r="J32" s="47">
        <v>49.4</v>
      </c>
      <c r="K32" s="48">
        <f t="shared" si="1"/>
        <v>1858.1</v>
      </c>
      <c r="L32" s="49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ht="18.0" customHeight="1">
      <c r="A33" s="36">
        <v>46020.0</v>
      </c>
      <c r="B33" s="19">
        <v>109.8</v>
      </c>
      <c r="C33" s="20">
        <v>2309.4</v>
      </c>
      <c r="D33" s="21"/>
      <c r="E33" s="21"/>
      <c r="F33" s="21"/>
      <c r="G33" s="21"/>
      <c r="H33" s="22"/>
      <c r="I33" s="23">
        <v>72.0</v>
      </c>
      <c r="J33" s="24"/>
      <c r="K33" s="25">
        <f t="shared" si="1"/>
        <v>2491.2</v>
      </c>
      <c r="L33" s="52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ht="18.0" customHeight="1">
      <c r="A34" s="39">
        <v>46021.0</v>
      </c>
      <c r="B34" s="28">
        <v>98.0</v>
      </c>
      <c r="C34" s="29">
        <v>1813.5</v>
      </c>
      <c r="D34" s="30"/>
      <c r="E34" s="30"/>
      <c r="F34" s="30"/>
      <c r="G34" s="30"/>
      <c r="H34" s="31"/>
      <c r="I34" s="32">
        <v>219.3</v>
      </c>
      <c r="J34" s="33">
        <v>82.4</v>
      </c>
      <c r="K34" s="25">
        <f t="shared" si="1"/>
        <v>2213.2</v>
      </c>
      <c r="L34" s="52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ht="18.0" customHeight="1">
      <c r="A35" s="39">
        <v>46022.0</v>
      </c>
      <c r="B35" s="28">
        <v>36.5</v>
      </c>
      <c r="C35" s="29">
        <v>1426.2</v>
      </c>
      <c r="D35" s="29">
        <v>108.5</v>
      </c>
      <c r="E35" s="30"/>
      <c r="F35" s="30"/>
      <c r="G35" s="30"/>
      <c r="H35" s="31"/>
      <c r="I35" s="32">
        <v>382.2</v>
      </c>
      <c r="J35" s="33">
        <v>271.3</v>
      </c>
      <c r="K35" s="25">
        <f t="shared" si="1"/>
        <v>2224.7</v>
      </c>
      <c r="L35" s="52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ht="18.0" customHeight="1">
      <c r="A36" s="54" t="s">
        <v>14</v>
      </c>
      <c r="B36" s="55">
        <f t="shared" ref="B36:K36" si="2">SUM(B5:B35)</f>
        <v>3754.51</v>
      </c>
      <c r="C36" s="55">
        <f t="shared" si="2"/>
        <v>45390.86</v>
      </c>
      <c r="D36" s="55">
        <f t="shared" si="2"/>
        <v>946.1</v>
      </c>
      <c r="E36" s="55">
        <f t="shared" si="2"/>
        <v>1026.1</v>
      </c>
      <c r="F36" s="55">
        <f t="shared" si="2"/>
        <v>0</v>
      </c>
      <c r="G36" s="55">
        <f t="shared" si="2"/>
        <v>76.9</v>
      </c>
      <c r="H36" s="55">
        <f t="shared" si="2"/>
        <v>0</v>
      </c>
      <c r="I36" s="55">
        <f t="shared" si="2"/>
        <v>5905.2</v>
      </c>
      <c r="J36" s="55">
        <f t="shared" si="2"/>
        <v>1086.9</v>
      </c>
      <c r="K36" s="56">
        <f t="shared" si="2"/>
        <v>58186.57</v>
      </c>
      <c r="L36" s="52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ht="14.2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8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4.2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8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4.25" customHeight="1">
      <c r="A39" s="18">
        <v>45992.0</v>
      </c>
      <c r="B39" s="59">
        <v>7.0</v>
      </c>
      <c r="C39" s="57"/>
      <c r="D39" s="57"/>
      <c r="E39" s="57"/>
      <c r="F39" s="57"/>
      <c r="G39" s="57"/>
      <c r="H39" s="57"/>
      <c r="I39" s="57"/>
      <c r="J39" s="57"/>
      <c r="K39" s="57"/>
      <c r="L39" s="58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4.25" customHeight="1">
      <c r="A40" s="18">
        <v>45993.0</v>
      </c>
      <c r="B40" s="59">
        <v>7.0</v>
      </c>
      <c r="C40" s="57"/>
      <c r="D40" s="57"/>
      <c r="E40" s="57"/>
      <c r="F40" s="57"/>
      <c r="G40" s="57"/>
      <c r="H40" s="57"/>
      <c r="I40" s="57"/>
      <c r="J40" s="57"/>
      <c r="K40" s="57"/>
      <c r="L40" s="58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4.25" customHeight="1">
      <c r="A41" s="18">
        <v>45994.0</v>
      </c>
      <c r="B41" s="59">
        <v>7.0</v>
      </c>
      <c r="C41" s="57"/>
      <c r="D41" s="57"/>
      <c r="E41" s="57"/>
      <c r="F41" s="57"/>
      <c r="G41" s="57"/>
      <c r="H41" s="57"/>
      <c r="I41" s="57"/>
      <c r="J41" s="57"/>
      <c r="K41" s="57"/>
      <c r="L41" s="58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4.25" customHeight="1">
      <c r="A42" s="36">
        <v>45995.0</v>
      </c>
      <c r="B42" s="59">
        <v>7.0</v>
      </c>
      <c r="C42" s="57"/>
      <c r="D42" s="57"/>
      <c r="E42" s="57"/>
      <c r="F42" s="57"/>
      <c r="G42" s="57"/>
      <c r="H42" s="57"/>
      <c r="I42" s="57"/>
      <c r="J42" s="57"/>
      <c r="K42" s="57"/>
      <c r="L42" s="58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4.25" customHeight="1">
      <c r="A43" s="39">
        <v>45996.0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8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4.25" customHeight="1">
      <c r="A44" s="18">
        <v>45997.0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</row>
    <row r="45" ht="14.25" customHeight="1">
      <c r="A45" s="41">
        <v>45998.0</v>
      </c>
      <c r="B45" s="60">
        <v>7.0</v>
      </c>
      <c r="C45" s="1"/>
      <c r="D45" s="1"/>
      <c r="E45" s="1"/>
      <c r="F45" s="1"/>
      <c r="G45" s="1"/>
      <c r="H45" s="1"/>
      <c r="I45" s="1"/>
      <c r="J45" s="1"/>
      <c r="K45" s="1"/>
      <c r="L45" s="2"/>
    </row>
    <row r="46" ht="14.25" customHeight="1">
      <c r="A46" s="18">
        <v>45999.0</v>
      </c>
      <c r="B46" s="60">
        <v>7.0</v>
      </c>
      <c r="C46" s="1"/>
      <c r="D46" s="1"/>
      <c r="E46" s="1"/>
      <c r="F46" s="1"/>
      <c r="G46" s="1"/>
      <c r="H46" s="1"/>
      <c r="I46" s="1"/>
      <c r="J46" s="1"/>
      <c r="K46" s="1"/>
      <c r="L46" s="2"/>
    </row>
    <row r="47" ht="14.25" customHeight="1">
      <c r="A47" s="18">
        <v>46000.0</v>
      </c>
      <c r="B47" s="60">
        <v>7.0</v>
      </c>
      <c r="C47" s="1"/>
      <c r="D47" s="1"/>
      <c r="E47" s="1"/>
      <c r="F47" s="1"/>
      <c r="G47" s="1"/>
      <c r="H47" s="1"/>
      <c r="I47" s="1"/>
      <c r="J47" s="1"/>
      <c r="K47" s="1"/>
      <c r="L47" s="2"/>
    </row>
    <row r="48" ht="14.25" customHeight="1">
      <c r="A48" s="18">
        <v>46001.0</v>
      </c>
      <c r="B48" s="60">
        <v>7.0</v>
      </c>
      <c r="C48" s="1"/>
      <c r="D48" s="1"/>
      <c r="E48" s="1"/>
      <c r="F48" s="1"/>
      <c r="G48" s="1"/>
      <c r="H48" s="1"/>
      <c r="I48" s="1"/>
      <c r="J48" s="1"/>
      <c r="K48" s="1"/>
      <c r="L48" s="2"/>
    </row>
    <row r="49" ht="14.25" customHeight="1">
      <c r="A49" s="36">
        <v>46002.0</v>
      </c>
      <c r="B49" s="60">
        <v>7.0</v>
      </c>
      <c r="C49" s="1"/>
      <c r="D49" s="1"/>
      <c r="E49" s="1"/>
      <c r="F49" s="1"/>
      <c r="G49" s="1"/>
      <c r="H49" s="1"/>
      <c r="I49" s="1"/>
      <c r="J49" s="1"/>
      <c r="K49" s="1"/>
      <c r="L49" s="2"/>
    </row>
    <row r="50" ht="14.25" customHeight="1">
      <c r="A50" s="39">
        <v>46003.0</v>
      </c>
      <c r="B50" s="60" t="s">
        <v>15</v>
      </c>
      <c r="C50" s="1"/>
      <c r="D50" s="1"/>
      <c r="E50" s="1"/>
      <c r="F50" s="1"/>
      <c r="G50" s="1"/>
      <c r="H50" s="1"/>
      <c r="I50" s="1"/>
      <c r="J50" s="1"/>
      <c r="K50" s="1"/>
      <c r="L50" s="2"/>
    </row>
    <row r="51" ht="14.25" customHeight="1">
      <c r="A51" s="18">
        <v>46004.0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</row>
    <row r="52" ht="14.25" customHeight="1">
      <c r="A52" s="41">
        <v>46005.0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</row>
    <row r="53" ht="14.25" customHeight="1">
      <c r="A53" s="18">
        <v>45703.0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</row>
    <row r="54" ht="14.25" customHeight="1">
      <c r="A54" s="18">
        <v>46007.0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</row>
    <row r="55" ht="14.25" customHeight="1">
      <c r="A55" s="18">
        <v>46008.0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</row>
    <row r="56" ht="14.25" customHeight="1">
      <c r="A56" s="18">
        <v>46009.0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</row>
    <row r="57" ht="14.25" customHeight="1">
      <c r="A57" s="39">
        <v>46010.0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</row>
    <row r="58" ht="14.25" customHeight="1">
      <c r="A58" s="18">
        <v>46011.0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</row>
    <row r="59" ht="14.25" customHeight="1">
      <c r="A59" s="41">
        <v>46012.0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</row>
    <row r="60" ht="14.25" customHeight="1">
      <c r="A60" s="18">
        <v>46013.0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</row>
    <row r="61" ht="14.25" customHeight="1">
      <c r="A61" s="18">
        <v>46014.0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</row>
    <row r="62" ht="14.25" customHeight="1">
      <c r="A62" s="18">
        <v>46015.0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</row>
    <row r="63" ht="14.25" customHeight="1">
      <c r="A63" s="36">
        <v>46016.0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</row>
    <row r="64" ht="14.25" customHeight="1">
      <c r="A64" s="39">
        <v>46017.0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</row>
    <row r="65" ht="14.25" customHeight="1">
      <c r="A65" s="18">
        <v>46018.0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</row>
    <row r="66" ht="14.25" customHeight="1">
      <c r="A66" s="41">
        <v>46019.0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</row>
    <row r="67" ht="14.25" customHeight="1">
      <c r="A67" s="36">
        <v>46020.0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</row>
    <row r="68" ht="14.25" customHeight="1">
      <c r="A68" s="39">
        <v>46021.0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</row>
    <row r="69" ht="14.25" customHeight="1">
      <c r="A69" s="39">
        <v>46022.0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</row>
    <row r="70" ht="14.25" customHeight="1">
      <c r="A70" s="54" t="s">
        <v>14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</row>
  </sheetData>
  <mergeCells count="12">
    <mergeCell ref="L15:L18"/>
    <mergeCell ref="L19:L21"/>
    <mergeCell ref="L22:L25"/>
    <mergeCell ref="L26:L28"/>
    <mergeCell ref="L29:L32"/>
    <mergeCell ref="A2:K2"/>
    <mergeCell ref="A3:A4"/>
    <mergeCell ref="B3:J3"/>
    <mergeCell ref="K3:K4"/>
    <mergeCell ref="L5:L7"/>
    <mergeCell ref="L8:L11"/>
    <mergeCell ref="L12:L1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3.25"/>
    <col customWidth="1" min="12" max="12" width="11.63"/>
    <col customWidth="1" min="13" max="25" width="10.63"/>
  </cols>
  <sheetData>
    <row r="1" ht="14.25" customHeight="1">
      <c r="A1" s="1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</row>
    <row r="2" ht="33.0" customHeight="1">
      <c r="A2" s="3" t="s">
        <v>16</v>
      </c>
      <c r="B2" s="4"/>
      <c r="C2" s="4"/>
      <c r="D2" s="4"/>
      <c r="E2" s="4"/>
      <c r="F2" s="4"/>
      <c r="G2" s="4"/>
      <c r="H2" s="4"/>
      <c r="I2" s="4"/>
      <c r="J2" s="4"/>
      <c r="K2" s="5"/>
      <c r="L2" s="62"/>
    </row>
    <row r="3" ht="18.0" customHeight="1">
      <c r="A3" s="6" t="s">
        <v>1</v>
      </c>
      <c r="B3" s="63" t="s">
        <v>2</v>
      </c>
      <c r="C3" s="8"/>
      <c r="D3" s="8"/>
      <c r="E3" s="8"/>
      <c r="F3" s="8"/>
      <c r="G3" s="8"/>
      <c r="H3" s="8"/>
      <c r="I3" s="8"/>
      <c r="J3" s="9"/>
      <c r="K3" s="64" t="s">
        <v>3</v>
      </c>
      <c r="L3" s="6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8.0" customHeight="1">
      <c r="A4" s="13"/>
      <c r="B4" s="66" t="s">
        <v>4</v>
      </c>
      <c r="C4" s="67" t="s">
        <v>5</v>
      </c>
      <c r="D4" s="67" t="s">
        <v>6</v>
      </c>
      <c r="E4" s="67" t="s">
        <v>7</v>
      </c>
      <c r="F4" s="67" t="s">
        <v>8</v>
      </c>
      <c r="G4" s="67" t="s">
        <v>9</v>
      </c>
      <c r="H4" s="67" t="s">
        <v>10</v>
      </c>
      <c r="I4" s="67" t="s">
        <v>11</v>
      </c>
      <c r="J4" s="68" t="s">
        <v>12</v>
      </c>
      <c r="K4" s="17"/>
      <c r="L4" s="62"/>
    </row>
    <row r="5" ht="18.0" customHeight="1">
      <c r="A5" s="69">
        <v>45963.0</v>
      </c>
      <c r="B5" s="70">
        <v>395.0</v>
      </c>
      <c r="C5" s="71">
        <v>2123.2</v>
      </c>
      <c r="D5" s="72"/>
      <c r="E5" s="72"/>
      <c r="F5" s="72"/>
      <c r="G5" s="72"/>
      <c r="H5" s="73"/>
      <c r="I5" s="74">
        <v>249.3</v>
      </c>
      <c r="J5" s="75">
        <v>34.0</v>
      </c>
      <c r="K5" s="76">
        <f t="shared" ref="K5:K30" si="1">SUM(B5:J5)</f>
        <v>2801.5</v>
      </c>
      <c r="L5" s="77"/>
      <c r="M5" s="78" t="s">
        <v>17</v>
      </c>
      <c r="N5" s="78">
        <v>10.0</v>
      </c>
      <c r="O5" s="78">
        <v>10.0</v>
      </c>
      <c r="P5" s="27"/>
      <c r="Q5" s="27"/>
      <c r="R5" s="27"/>
      <c r="S5" s="27"/>
      <c r="T5" s="27"/>
      <c r="U5" s="27"/>
      <c r="V5" s="27"/>
      <c r="W5" s="27"/>
      <c r="X5" s="27"/>
      <c r="Y5" s="27"/>
    </row>
    <row r="6" ht="18.0" customHeight="1">
      <c r="A6" s="18">
        <v>45964.0</v>
      </c>
      <c r="B6" s="79">
        <v>122.6</v>
      </c>
      <c r="C6" s="80">
        <v>1364.6</v>
      </c>
      <c r="D6" s="80"/>
      <c r="E6" s="81"/>
      <c r="F6" s="81"/>
      <c r="G6" s="81"/>
      <c r="H6" s="82"/>
      <c r="I6" s="83">
        <v>141.2</v>
      </c>
      <c r="J6" s="84">
        <v>51.0</v>
      </c>
      <c r="K6" s="85">
        <f t="shared" si="1"/>
        <v>1679.4</v>
      </c>
      <c r="L6" s="86" t="s">
        <v>13</v>
      </c>
      <c r="M6" s="78" t="s">
        <v>17</v>
      </c>
      <c r="N6" s="78">
        <v>10.0</v>
      </c>
      <c r="O6" s="78">
        <v>10.0</v>
      </c>
      <c r="P6" s="27"/>
      <c r="Q6" s="27"/>
      <c r="R6" s="27"/>
      <c r="S6" s="27"/>
      <c r="T6" s="27"/>
      <c r="U6" s="27"/>
      <c r="V6" s="27"/>
      <c r="W6" s="27"/>
      <c r="X6" s="27"/>
      <c r="Y6" s="27"/>
    </row>
    <row r="7" ht="18.0" customHeight="1">
      <c r="A7" s="18">
        <v>45965.0</v>
      </c>
      <c r="B7" s="79">
        <v>-2.0</v>
      </c>
      <c r="C7" s="80">
        <v>849.0</v>
      </c>
      <c r="D7" s="81"/>
      <c r="E7" s="81"/>
      <c r="F7" s="81"/>
      <c r="G7" s="81"/>
      <c r="H7" s="82"/>
      <c r="I7" s="83">
        <v>127.5</v>
      </c>
      <c r="J7" s="84">
        <v>25.08</v>
      </c>
      <c r="K7" s="85">
        <f t="shared" si="1"/>
        <v>999.58</v>
      </c>
      <c r="L7" s="34"/>
      <c r="M7" s="78" t="s">
        <v>17</v>
      </c>
      <c r="N7" s="78">
        <v>10.0</v>
      </c>
      <c r="O7" s="78">
        <v>10.0</v>
      </c>
      <c r="P7" s="27"/>
      <c r="Q7" s="27"/>
      <c r="R7" s="27"/>
      <c r="S7" s="27"/>
      <c r="T7" s="27"/>
      <c r="U7" s="27"/>
      <c r="V7" s="27"/>
      <c r="W7" s="27"/>
      <c r="X7" s="27"/>
      <c r="Y7" s="27"/>
    </row>
    <row r="8" ht="18.0" customHeight="1">
      <c r="A8" s="36">
        <v>45966.0</v>
      </c>
      <c r="B8" s="87">
        <v>79.7</v>
      </c>
      <c r="C8" s="88">
        <v>1702.5</v>
      </c>
      <c r="D8" s="88">
        <v>50.5</v>
      </c>
      <c r="E8" s="88">
        <v>69.4</v>
      </c>
      <c r="F8" s="89"/>
      <c r="G8" s="89"/>
      <c r="H8" s="90"/>
      <c r="I8" s="91">
        <v>196.2</v>
      </c>
      <c r="J8" s="92">
        <v>27.2</v>
      </c>
      <c r="K8" s="85">
        <f t="shared" si="1"/>
        <v>2125.5</v>
      </c>
      <c r="L8" s="35"/>
      <c r="M8" s="78" t="s">
        <v>17</v>
      </c>
      <c r="N8" s="78">
        <v>10.0</v>
      </c>
      <c r="O8" s="78">
        <v>10.0</v>
      </c>
      <c r="P8" s="27"/>
      <c r="Q8" s="27"/>
      <c r="R8" s="27"/>
      <c r="S8" s="27"/>
      <c r="T8" s="27"/>
      <c r="U8" s="27"/>
      <c r="V8" s="27"/>
      <c r="W8" s="27"/>
      <c r="X8" s="27"/>
      <c r="Y8" s="27"/>
    </row>
    <row r="9" ht="18.0" customHeight="1">
      <c r="A9" s="39">
        <v>45967.0</v>
      </c>
      <c r="B9" s="79">
        <v>122.9</v>
      </c>
      <c r="C9" s="80">
        <v>1283.3</v>
      </c>
      <c r="D9" s="81"/>
      <c r="E9" s="81"/>
      <c r="F9" s="81"/>
      <c r="G9" s="81"/>
      <c r="H9" s="82"/>
      <c r="I9" s="83">
        <v>192.9</v>
      </c>
      <c r="J9" s="93"/>
      <c r="K9" s="85">
        <f t="shared" si="1"/>
        <v>1599.1</v>
      </c>
      <c r="L9" s="94">
        <f>SUM(K6:K11)</f>
        <v>10672.2</v>
      </c>
      <c r="M9" s="78" t="s">
        <v>17</v>
      </c>
      <c r="N9" s="78">
        <v>10.0</v>
      </c>
      <c r="O9" s="78">
        <v>10.0</v>
      </c>
      <c r="P9" s="27"/>
      <c r="Q9" s="27"/>
      <c r="R9" s="27"/>
      <c r="S9" s="27"/>
      <c r="T9" s="27"/>
      <c r="U9" s="27"/>
      <c r="V9" s="27"/>
      <c r="W9" s="27"/>
      <c r="X9" s="27"/>
      <c r="Y9" s="27"/>
    </row>
    <row r="10" ht="18.0" customHeight="1">
      <c r="A10" s="18">
        <v>45968.0</v>
      </c>
      <c r="B10" s="79">
        <v>41.3</v>
      </c>
      <c r="C10" s="80">
        <v>797.8</v>
      </c>
      <c r="D10" s="81"/>
      <c r="E10" s="80">
        <v>16.0</v>
      </c>
      <c r="F10" s="81"/>
      <c r="G10" s="81"/>
      <c r="H10" s="82"/>
      <c r="I10" s="83">
        <v>90.5</v>
      </c>
      <c r="J10" s="93"/>
      <c r="K10" s="85">
        <f t="shared" si="1"/>
        <v>945.6</v>
      </c>
      <c r="L10" s="34"/>
      <c r="M10" s="78" t="s">
        <v>17</v>
      </c>
      <c r="N10" s="78">
        <v>5.0</v>
      </c>
      <c r="O10" s="78">
        <v>5.0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ht="18.0" customHeight="1">
      <c r="A11" s="41">
        <v>45970.0</v>
      </c>
      <c r="B11" s="95">
        <v>126.02</v>
      </c>
      <c r="C11" s="96">
        <v>2987.9</v>
      </c>
      <c r="D11" s="96">
        <v>41.5</v>
      </c>
      <c r="E11" s="97"/>
      <c r="F11" s="97"/>
      <c r="G11" s="97"/>
      <c r="H11" s="98"/>
      <c r="I11" s="99">
        <v>133.6</v>
      </c>
      <c r="J11" s="100">
        <v>34.0</v>
      </c>
      <c r="K11" s="76">
        <f t="shared" si="1"/>
        <v>3323.02</v>
      </c>
      <c r="L11" s="49"/>
      <c r="M11" s="27"/>
      <c r="N11" s="78">
        <v>10.0</v>
      </c>
      <c r="O11" s="78">
        <v>10.0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ht="18.0" customHeight="1">
      <c r="A12" s="18">
        <v>45971.0</v>
      </c>
      <c r="B12" s="87">
        <v>111.2</v>
      </c>
      <c r="C12" s="88">
        <v>2469.6</v>
      </c>
      <c r="D12" s="89"/>
      <c r="E12" s="88">
        <v>72.0</v>
      </c>
      <c r="F12" s="89"/>
      <c r="G12" s="89"/>
      <c r="H12" s="90"/>
      <c r="I12" s="91">
        <v>205.4</v>
      </c>
      <c r="J12" s="101"/>
      <c r="K12" s="85">
        <f t="shared" si="1"/>
        <v>2858.2</v>
      </c>
      <c r="L12" s="86" t="s">
        <v>13</v>
      </c>
      <c r="M12" s="27"/>
      <c r="N12" s="78">
        <v>10.0</v>
      </c>
      <c r="O12" s="78">
        <v>10.0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ht="18.0" customHeight="1">
      <c r="A13" s="36">
        <v>45972.0</v>
      </c>
      <c r="B13" s="79">
        <v>256.3</v>
      </c>
      <c r="C13" s="80">
        <v>2253.1</v>
      </c>
      <c r="D13" s="80">
        <v>101.9</v>
      </c>
      <c r="E13" s="80">
        <v>96.0</v>
      </c>
      <c r="F13" s="81"/>
      <c r="G13" s="81"/>
      <c r="H13" s="82"/>
      <c r="I13" s="83">
        <v>93.0</v>
      </c>
      <c r="J13" s="93"/>
      <c r="K13" s="85">
        <f t="shared" si="1"/>
        <v>2800.3</v>
      </c>
      <c r="L13" s="34"/>
      <c r="M13" s="27"/>
      <c r="N13" s="78">
        <v>10.0</v>
      </c>
      <c r="O13" s="78">
        <v>10.0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ht="18.0" customHeight="1">
      <c r="A14" s="18">
        <v>45973.0</v>
      </c>
      <c r="B14" s="79">
        <v>74.4</v>
      </c>
      <c r="C14" s="80">
        <v>714.4</v>
      </c>
      <c r="D14" s="102"/>
      <c r="E14" s="80">
        <v>40.0</v>
      </c>
      <c r="F14" s="102"/>
      <c r="G14" s="81"/>
      <c r="H14" s="82"/>
      <c r="I14" s="83">
        <v>2.3</v>
      </c>
      <c r="J14" s="103"/>
      <c r="K14" s="85">
        <f t="shared" si="1"/>
        <v>831.1</v>
      </c>
      <c r="L14" s="35"/>
      <c r="M14" s="78" t="s">
        <v>17</v>
      </c>
      <c r="N14" s="78">
        <v>10.0</v>
      </c>
      <c r="O14" s="78">
        <v>10.0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t="18.0" customHeight="1">
      <c r="A15" s="18">
        <v>45974.0</v>
      </c>
      <c r="B15" s="104">
        <v>77.3</v>
      </c>
      <c r="C15" s="105">
        <v>1449.0</v>
      </c>
      <c r="D15" s="106"/>
      <c r="E15" s="105">
        <v>52.5</v>
      </c>
      <c r="F15" s="107"/>
      <c r="G15" s="106"/>
      <c r="H15" s="108"/>
      <c r="I15" s="109">
        <v>120.4</v>
      </c>
      <c r="J15" s="110"/>
      <c r="K15" s="85">
        <f t="shared" si="1"/>
        <v>1699.2</v>
      </c>
      <c r="L15" s="94">
        <f>SUM(K12:K17)</f>
        <v>11661.2</v>
      </c>
      <c r="M15" s="27"/>
      <c r="N15" s="78">
        <v>10.0</v>
      </c>
      <c r="O15" s="78">
        <v>10.0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8.0" customHeight="1">
      <c r="A16" s="36">
        <v>45975.0</v>
      </c>
      <c r="B16" s="87"/>
      <c r="C16" s="88">
        <v>397.6</v>
      </c>
      <c r="D16" s="111"/>
      <c r="E16" s="111"/>
      <c r="F16" s="111"/>
      <c r="G16" s="89"/>
      <c r="H16" s="90"/>
      <c r="I16" s="112"/>
      <c r="J16" s="92">
        <v>32.4</v>
      </c>
      <c r="K16" s="85">
        <f t="shared" si="1"/>
        <v>430</v>
      </c>
      <c r="L16" s="34"/>
      <c r="M16" s="78" t="s">
        <v>17</v>
      </c>
      <c r="N16" s="78">
        <v>5.0</v>
      </c>
      <c r="O16" s="78">
        <v>5.0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ht="18.0" customHeight="1">
      <c r="A17" s="69">
        <v>45977.0</v>
      </c>
      <c r="B17" s="95">
        <v>194.0</v>
      </c>
      <c r="C17" s="96">
        <v>2124.1</v>
      </c>
      <c r="D17" s="96">
        <v>143.7</v>
      </c>
      <c r="E17" s="96">
        <v>41.5</v>
      </c>
      <c r="F17" s="97"/>
      <c r="G17" s="97"/>
      <c r="H17" s="98"/>
      <c r="I17" s="99">
        <v>539.1</v>
      </c>
      <c r="J17" s="113"/>
      <c r="K17" s="76">
        <f t="shared" si="1"/>
        <v>3042.4</v>
      </c>
      <c r="L17" s="49"/>
      <c r="M17" s="78" t="s">
        <v>17</v>
      </c>
      <c r="N17" s="78">
        <v>10.0</v>
      </c>
      <c r="O17" s="78">
        <v>10.0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ht="18.0" customHeight="1">
      <c r="A18" s="18">
        <v>45978.0</v>
      </c>
      <c r="B18" s="87">
        <v>39.0</v>
      </c>
      <c r="C18" s="88">
        <v>1045.0</v>
      </c>
      <c r="D18" s="111"/>
      <c r="E18" s="89"/>
      <c r="F18" s="89"/>
      <c r="G18" s="89"/>
      <c r="H18" s="90"/>
      <c r="I18" s="91">
        <v>100.2</v>
      </c>
      <c r="J18" s="92">
        <v>121.0</v>
      </c>
      <c r="K18" s="85">
        <f t="shared" si="1"/>
        <v>1305.2</v>
      </c>
      <c r="L18" s="86" t="s">
        <v>13</v>
      </c>
      <c r="M18" s="78" t="s">
        <v>17</v>
      </c>
      <c r="N18" s="78">
        <v>10.0</v>
      </c>
      <c r="O18" s="78">
        <v>10.0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18.0" customHeight="1">
      <c r="A19" s="18">
        <v>45979.0</v>
      </c>
      <c r="B19" s="79">
        <v>112.35</v>
      </c>
      <c r="C19" s="80">
        <v>2155.05</v>
      </c>
      <c r="D19" s="80">
        <v>124.5</v>
      </c>
      <c r="E19" s="80">
        <v>16.6</v>
      </c>
      <c r="F19" s="102"/>
      <c r="G19" s="81"/>
      <c r="H19" s="82"/>
      <c r="I19" s="83">
        <v>211.1</v>
      </c>
      <c r="J19" s="84">
        <v>44.4</v>
      </c>
      <c r="K19" s="85">
        <f t="shared" si="1"/>
        <v>2664</v>
      </c>
      <c r="L19" s="34"/>
      <c r="M19" s="27"/>
      <c r="N19" s="78">
        <v>10.0</v>
      </c>
      <c r="O19" s="78">
        <v>10.0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t="18.0" customHeight="1">
      <c r="A20" s="36">
        <v>45980.0</v>
      </c>
      <c r="B20" s="87">
        <v>227.6</v>
      </c>
      <c r="C20" s="88">
        <v>1611.1</v>
      </c>
      <c r="D20" s="88">
        <v>54.9</v>
      </c>
      <c r="E20" s="88">
        <v>18.0</v>
      </c>
      <c r="F20" s="111"/>
      <c r="G20" s="89"/>
      <c r="H20" s="90"/>
      <c r="I20" s="91">
        <v>287.1</v>
      </c>
      <c r="J20" s="92">
        <v>16.5</v>
      </c>
      <c r="K20" s="85">
        <f t="shared" si="1"/>
        <v>2215.2</v>
      </c>
      <c r="L20" s="35"/>
      <c r="M20" s="27"/>
      <c r="N20" s="78">
        <v>10.0</v>
      </c>
      <c r="O20" s="78">
        <v>10.0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18.0" customHeight="1">
      <c r="A21" s="39">
        <v>45981.0</v>
      </c>
      <c r="B21" s="79">
        <v>101.6</v>
      </c>
      <c r="C21" s="80">
        <v>1903.2</v>
      </c>
      <c r="D21" s="80">
        <v>25.0</v>
      </c>
      <c r="E21" s="80">
        <v>24.0</v>
      </c>
      <c r="F21" s="102"/>
      <c r="G21" s="81"/>
      <c r="H21" s="82"/>
      <c r="I21" s="83">
        <v>116.0</v>
      </c>
      <c r="J21" s="84">
        <v>69.9</v>
      </c>
      <c r="K21" s="85">
        <f t="shared" si="1"/>
        <v>2239.7</v>
      </c>
      <c r="L21" s="94">
        <f>SUM(K18:K23)</f>
        <v>10945.7</v>
      </c>
      <c r="M21" s="27"/>
      <c r="N21" s="78">
        <v>10.0</v>
      </c>
      <c r="O21" s="78">
        <v>10.0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ht="18.0" customHeight="1">
      <c r="A22" s="18">
        <v>45982.0</v>
      </c>
      <c r="B22" s="114"/>
      <c r="C22" s="88">
        <v>76.8</v>
      </c>
      <c r="D22" s="111"/>
      <c r="E22" s="111"/>
      <c r="F22" s="111"/>
      <c r="G22" s="89"/>
      <c r="H22" s="90"/>
      <c r="I22" s="91">
        <v>84.5</v>
      </c>
      <c r="J22" s="115"/>
      <c r="K22" s="85">
        <f t="shared" si="1"/>
        <v>161.3</v>
      </c>
      <c r="L22" s="34"/>
      <c r="M22" s="27"/>
      <c r="N22" s="78">
        <v>5.0</v>
      </c>
      <c r="O22" s="78">
        <v>5.0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ht="18.0" customHeight="1">
      <c r="A23" s="41">
        <v>45984.0</v>
      </c>
      <c r="B23" s="95">
        <v>171.8</v>
      </c>
      <c r="C23" s="96">
        <v>1988.3</v>
      </c>
      <c r="D23" s="96">
        <v>109.3</v>
      </c>
      <c r="E23" s="96"/>
      <c r="F23" s="97"/>
      <c r="G23" s="97"/>
      <c r="H23" s="116"/>
      <c r="I23" s="99">
        <v>90.9</v>
      </c>
      <c r="J23" s="113"/>
      <c r="K23" s="76">
        <f t="shared" si="1"/>
        <v>2360.3</v>
      </c>
      <c r="L23" s="49"/>
      <c r="M23" s="78" t="s">
        <v>17</v>
      </c>
      <c r="N23" s="78">
        <v>10.0</v>
      </c>
      <c r="O23" s="78">
        <v>10.0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ht="18.0" customHeight="1">
      <c r="A24" s="36">
        <v>45985.0</v>
      </c>
      <c r="B24" s="87">
        <v>114.0</v>
      </c>
      <c r="C24" s="88">
        <v>950.7</v>
      </c>
      <c r="D24" s="88">
        <v>22.5</v>
      </c>
      <c r="E24" s="88"/>
      <c r="F24" s="89"/>
      <c r="G24" s="89"/>
      <c r="H24" s="90"/>
      <c r="I24" s="91">
        <v>69.9</v>
      </c>
      <c r="J24" s="92">
        <v>83.93</v>
      </c>
      <c r="K24" s="85">
        <f t="shared" si="1"/>
        <v>1241.03</v>
      </c>
      <c r="L24" s="86" t="s">
        <v>13</v>
      </c>
      <c r="M24" s="78" t="s">
        <v>17</v>
      </c>
      <c r="N24" s="78">
        <v>10.0</v>
      </c>
      <c r="O24" s="78">
        <v>10.0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ht="18.0" customHeight="1">
      <c r="A25" s="39">
        <v>45986.0</v>
      </c>
      <c r="B25" s="79">
        <v>164.4</v>
      </c>
      <c r="C25" s="80">
        <v>1204.1</v>
      </c>
      <c r="D25" s="80">
        <v>39.5</v>
      </c>
      <c r="E25" s="80">
        <v>48.0</v>
      </c>
      <c r="F25" s="81"/>
      <c r="G25" s="81"/>
      <c r="H25" s="82"/>
      <c r="I25" s="83">
        <v>229.1</v>
      </c>
      <c r="J25" s="84">
        <v>14.85</v>
      </c>
      <c r="K25" s="85">
        <f t="shared" si="1"/>
        <v>1699.95</v>
      </c>
      <c r="L25" s="34"/>
      <c r="M25" s="78"/>
      <c r="N25" s="78">
        <v>10.0</v>
      </c>
      <c r="O25" s="78">
        <v>10.0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ht="18.0" customHeight="1">
      <c r="A26" s="18">
        <v>45987.0</v>
      </c>
      <c r="B26" s="87">
        <v>254.7</v>
      </c>
      <c r="C26" s="88">
        <v>1259.4</v>
      </c>
      <c r="D26" s="88">
        <v>19.9</v>
      </c>
      <c r="E26" s="88">
        <v>23.4</v>
      </c>
      <c r="F26" s="111"/>
      <c r="G26" s="111"/>
      <c r="H26" s="90"/>
      <c r="I26" s="91">
        <v>178.4</v>
      </c>
      <c r="J26" s="92">
        <v>52.25</v>
      </c>
      <c r="K26" s="85">
        <f t="shared" si="1"/>
        <v>1788.05</v>
      </c>
      <c r="L26" s="35"/>
      <c r="M26" s="27"/>
      <c r="N26" s="78">
        <v>10.0</v>
      </c>
      <c r="O26" s="78">
        <v>10.0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ht="18.0" customHeight="1">
      <c r="A27" s="39">
        <v>45988.0</v>
      </c>
      <c r="B27" s="79">
        <v>82.5</v>
      </c>
      <c r="C27" s="80">
        <v>1923.3</v>
      </c>
      <c r="D27" s="102"/>
      <c r="E27" s="80">
        <v>82.0</v>
      </c>
      <c r="F27" s="102"/>
      <c r="G27" s="81"/>
      <c r="H27" s="83">
        <v>680.0</v>
      </c>
      <c r="I27" s="83">
        <v>185.2</v>
      </c>
      <c r="J27" s="84">
        <v>216.33</v>
      </c>
      <c r="K27" s="85">
        <f t="shared" si="1"/>
        <v>3169.33</v>
      </c>
      <c r="L27" s="94">
        <f>SUM(K24:K30)</f>
        <v>12669.14</v>
      </c>
      <c r="M27" s="117" t="s">
        <v>18</v>
      </c>
      <c r="N27" s="78">
        <v>10.0</v>
      </c>
      <c r="O27" s="78">
        <v>10.0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ht="18.0" customHeight="1">
      <c r="A28" s="18">
        <v>45989.0</v>
      </c>
      <c r="B28" s="87">
        <v>104.3</v>
      </c>
      <c r="C28" s="88">
        <v>345.1</v>
      </c>
      <c r="D28" s="111"/>
      <c r="E28" s="88">
        <v>14.0</v>
      </c>
      <c r="F28" s="111"/>
      <c r="G28" s="89"/>
      <c r="H28" s="90"/>
      <c r="I28" s="91">
        <v>86.3</v>
      </c>
      <c r="J28" s="92">
        <v>481.53</v>
      </c>
      <c r="K28" s="85">
        <f t="shared" si="1"/>
        <v>1031.23</v>
      </c>
      <c r="L28" s="34"/>
      <c r="M28" s="78"/>
      <c r="N28" s="78">
        <v>5.0</v>
      </c>
      <c r="O28" s="78">
        <v>5.0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ht="18.0" customHeight="1">
      <c r="A29" s="18">
        <v>45990.0</v>
      </c>
      <c r="B29" s="79">
        <v>96.9</v>
      </c>
      <c r="C29" s="80">
        <v>549.3</v>
      </c>
      <c r="D29" s="102"/>
      <c r="E29" s="102"/>
      <c r="F29" s="102"/>
      <c r="G29" s="81"/>
      <c r="H29" s="82"/>
      <c r="I29" s="118"/>
      <c r="J29" s="103"/>
      <c r="K29" s="85">
        <f t="shared" si="1"/>
        <v>646.2</v>
      </c>
      <c r="L29" s="34"/>
      <c r="M29" s="78"/>
      <c r="N29" s="78">
        <v>5.0</v>
      </c>
      <c r="O29" s="78">
        <v>5.0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ht="18.0" customHeight="1">
      <c r="A30" s="41">
        <v>45991.0</v>
      </c>
      <c r="B30" s="95">
        <v>191.7</v>
      </c>
      <c r="C30" s="96">
        <v>2055.9</v>
      </c>
      <c r="D30" s="96">
        <v>173.7</v>
      </c>
      <c r="E30" s="96">
        <v>29.8</v>
      </c>
      <c r="F30" s="97"/>
      <c r="G30" s="96">
        <v>200.0</v>
      </c>
      <c r="H30" s="98"/>
      <c r="I30" s="99">
        <v>165.7</v>
      </c>
      <c r="J30" s="100">
        <v>276.55</v>
      </c>
      <c r="K30" s="119">
        <f t="shared" si="1"/>
        <v>3093.35</v>
      </c>
      <c r="L30" s="49"/>
      <c r="M30" s="27"/>
      <c r="N30" s="78">
        <v>10.0</v>
      </c>
      <c r="O30" s="78">
        <v>10.0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ht="6.0" customHeight="1">
      <c r="A31" s="120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2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ht="18.0" customHeight="1">
      <c r="A32" s="54" t="s">
        <v>14</v>
      </c>
      <c r="B32" s="123">
        <f t="shared" ref="B32:K32" si="2">SUM(B5:B30)</f>
        <v>3259.57</v>
      </c>
      <c r="C32" s="124">
        <f t="shared" si="2"/>
        <v>37583.35</v>
      </c>
      <c r="D32" s="124">
        <f t="shared" si="2"/>
        <v>906.9</v>
      </c>
      <c r="E32" s="124">
        <f t="shared" si="2"/>
        <v>643.2</v>
      </c>
      <c r="F32" s="124">
        <f t="shared" si="2"/>
        <v>0</v>
      </c>
      <c r="G32" s="124">
        <f t="shared" si="2"/>
        <v>200</v>
      </c>
      <c r="H32" s="124">
        <f t="shared" si="2"/>
        <v>680</v>
      </c>
      <c r="I32" s="124">
        <f t="shared" si="2"/>
        <v>3895.8</v>
      </c>
      <c r="J32" s="125">
        <f t="shared" si="2"/>
        <v>1580.92</v>
      </c>
      <c r="K32" s="126">
        <f t="shared" si="2"/>
        <v>48749.74</v>
      </c>
      <c r="L32" s="122"/>
      <c r="M32" s="53"/>
      <c r="N32" s="53">
        <f t="shared" ref="N32:O32" si="3">SUM(N5:N30)</f>
        <v>235</v>
      </c>
      <c r="O32" s="53">
        <f t="shared" si="3"/>
        <v>235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ht="6.0" customHeight="1">
      <c r="A33" s="5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7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ht="14.25" customHeight="1">
      <c r="A34" s="128" t="s">
        <v>19</v>
      </c>
      <c r="B34" s="129">
        <v>3259.57</v>
      </c>
      <c r="C34" s="130">
        <v>37583.35</v>
      </c>
      <c r="D34" s="130">
        <v>906.9</v>
      </c>
      <c r="E34" s="130">
        <v>643.2</v>
      </c>
      <c r="F34" s="131"/>
      <c r="G34" s="130">
        <v>200.0</v>
      </c>
      <c r="H34" s="130">
        <v>680.0</v>
      </c>
      <c r="I34" s="130">
        <v>3895.8</v>
      </c>
      <c r="J34" s="132">
        <v>1099.39</v>
      </c>
      <c r="K34" s="133">
        <f>SUM(B34:J34)</f>
        <v>48268.21</v>
      </c>
      <c r="L34" s="7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t="6.0" customHeight="1">
      <c r="A35" s="5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7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t="14.25" customHeight="1">
      <c r="A36" s="134" t="s">
        <v>20</v>
      </c>
      <c r="B36" s="135">
        <f t="shared" ref="B36:K36" si="4">B34-B32</f>
        <v>0</v>
      </c>
      <c r="C36" s="136">
        <f t="shared" si="4"/>
        <v>0</v>
      </c>
      <c r="D36" s="136">
        <f t="shared" si="4"/>
        <v>0</v>
      </c>
      <c r="E36" s="136">
        <f t="shared" si="4"/>
        <v>0</v>
      </c>
      <c r="F36" s="136">
        <f t="shared" si="4"/>
        <v>0</v>
      </c>
      <c r="G36" s="136">
        <f t="shared" si="4"/>
        <v>0</v>
      </c>
      <c r="H36" s="136">
        <f t="shared" si="4"/>
        <v>0</v>
      </c>
      <c r="I36" s="136">
        <f t="shared" si="4"/>
        <v>0</v>
      </c>
      <c r="J36" s="137">
        <f t="shared" si="4"/>
        <v>-481.53</v>
      </c>
      <c r="K36" s="138">
        <f t="shared" si="4"/>
        <v>-481.53</v>
      </c>
      <c r="L36" s="7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t="14.25" customHeight="1">
      <c r="A37" s="57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7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4.25" customHeight="1">
      <c r="A38" s="57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7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4.25" customHeight="1">
      <c r="A39" s="57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7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4.25" customHeight="1">
      <c r="A40" s="57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7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4.25" customHeight="1">
      <c r="A41" s="57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7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4.25" customHeight="1">
      <c r="A42" s="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ht="14.25" customHeight="1">
      <c r="A43" s="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ht="14.25" customHeight="1">
      <c r="A44" s="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ht="14.25" customHeight="1">
      <c r="A45" s="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2"/>
    </row>
    <row r="46" ht="14.25" customHeight="1">
      <c r="A46" s="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ht="14.25" customHeight="1">
      <c r="A47" s="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2"/>
    </row>
    <row r="48" ht="14.25" customHeight="1">
      <c r="A48" s="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2"/>
    </row>
    <row r="49" ht="14.25" customHeight="1">
      <c r="A49" s="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2"/>
    </row>
    <row r="50" ht="14.25" customHeight="1">
      <c r="A50" s="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2"/>
    </row>
    <row r="51" ht="14.25" customHeight="1">
      <c r="A51" s="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2"/>
    </row>
    <row r="52" ht="14.25" customHeight="1">
      <c r="A52" s="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2"/>
    </row>
    <row r="53" ht="14.25" customHeight="1">
      <c r="A53" s="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2"/>
    </row>
    <row r="54" ht="14.25" customHeight="1">
      <c r="A54" s="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2"/>
    </row>
    <row r="55" ht="14.25" customHeight="1">
      <c r="A55" s="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2"/>
    </row>
    <row r="56" ht="14.25" customHeight="1">
      <c r="A56" s="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2"/>
    </row>
    <row r="57" ht="14.25" customHeight="1">
      <c r="A57" s="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2"/>
    </row>
    <row r="58" ht="14.25" customHeight="1">
      <c r="A58" s="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2"/>
    </row>
    <row r="59" ht="14.25" customHeight="1">
      <c r="A59" s="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2"/>
    </row>
    <row r="60" ht="14.25" customHeight="1">
      <c r="A60" s="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2"/>
    </row>
    <row r="61" ht="14.25" customHeight="1">
      <c r="A61" s="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2"/>
    </row>
    <row r="62" ht="14.25" customHeight="1">
      <c r="A62" s="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2"/>
    </row>
    <row r="63" ht="14.25" customHeight="1">
      <c r="A63" s="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2"/>
    </row>
    <row r="64" ht="14.25" customHeight="1">
      <c r="A64" s="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2"/>
    </row>
    <row r="65" ht="14.25" customHeight="1">
      <c r="A65" s="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2"/>
    </row>
    <row r="66" ht="14.25" customHeight="1">
      <c r="A66" s="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2"/>
    </row>
    <row r="67" ht="14.25" customHeight="1">
      <c r="A67" s="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2"/>
    </row>
    <row r="68" ht="14.25" customHeight="1">
      <c r="A68" s="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2"/>
    </row>
    <row r="69" ht="14.25" customHeight="1">
      <c r="A69" s="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2"/>
    </row>
    <row r="70" ht="14.25" customHeight="1">
      <c r="A70" s="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2"/>
    </row>
    <row r="71" ht="14.25" customHeight="1">
      <c r="A71" s="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2"/>
    </row>
    <row r="72" ht="14.25" customHeight="1">
      <c r="A72" s="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2"/>
    </row>
    <row r="73" ht="14.25" customHeight="1">
      <c r="A73" s="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2"/>
    </row>
    <row r="74" ht="14.25" customHeight="1">
      <c r="A74" s="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2"/>
    </row>
    <row r="75" ht="14.25" customHeight="1">
      <c r="A75" s="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2"/>
    </row>
    <row r="76" ht="14.25" customHeight="1">
      <c r="A76" s="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2"/>
    </row>
    <row r="77" ht="14.25" customHeight="1">
      <c r="A77" s="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2"/>
    </row>
    <row r="78" ht="14.25" customHeight="1">
      <c r="A78" s="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2"/>
    </row>
    <row r="79" ht="14.25" customHeight="1">
      <c r="A79" s="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2"/>
    </row>
    <row r="80" ht="14.25" customHeight="1">
      <c r="A80" s="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2"/>
    </row>
    <row r="81" ht="14.25" customHeight="1">
      <c r="A81" s="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2"/>
    </row>
    <row r="82" ht="14.25" customHeight="1">
      <c r="A82" s="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2"/>
    </row>
    <row r="83" ht="14.25" customHeight="1">
      <c r="A83" s="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2"/>
    </row>
    <row r="84" ht="14.25" customHeight="1">
      <c r="A84" s="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2"/>
    </row>
    <row r="85" ht="14.25" customHeight="1">
      <c r="A85" s="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2"/>
    </row>
    <row r="86" ht="14.25" customHeight="1">
      <c r="A86" s="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2"/>
    </row>
    <row r="87" ht="14.25" customHeight="1">
      <c r="A87" s="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2"/>
    </row>
    <row r="88" ht="14.25" customHeight="1">
      <c r="A88" s="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2"/>
    </row>
    <row r="89" ht="14.25" customHeight="1">
      <c r="A89" s="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2"/>
    </row>
    <row r="90" ht="14.25" customHeight="1">
      <c r="A90" s="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2"/>
    </row>
    <row r="91" ht="14.25" customHeight="1">
      <c r="A91" s="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2"/>
    </row>
    <row r="92" ht="14.25" customHeight="1">
      <c r="A92" s="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2"/>
    </row>
    <row r="93" ht="14.25" customHeight="1">
      <c r="A93" s="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2"/>
    </row>
    <row r="94" ht="14.25" customHeight="1">
      <c r="A94" s="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2"/>
    </row>
    <row r="95" ht="14.25" customHeight="1">
      <c r="A95" s="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2"/>
    </row>
    <row r="96" ht="14.25" customHeight="1">
      <c r="A96" s="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2"/>
    </row>
    <row r="97" ht="14.25" customHeight="1">
      <c r="A97" s="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2"/>
    </row>
    <row r="98" ht="14.25" customHeight="1">
      <c r="A98" s="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2"/>
    </row>
    <row r="99" ht="14.25" customHeight="1">
      <c r="A99" s="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2"/>
    </row>
    <row r="100" ht="14.25" customHeight="1">
      <c r="A100" s="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2"/>
    </row>
    <row r="101" ht="14.25" customHeight="1">
      <c r="A101" s="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2"/>
    </row>
    <row r="102" ht="14.25" customHeight="1">
      <c r="A102" s="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2"/>
    </row>
    <row r="103" ht="14.25" customHeight="1">
      <c r="A103" s="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2"/>
    </row>
    <row r="104" ht="14.25" customHeight="1">
      <c r="A104" s="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2"/>
    </row>
    <row r="105" ht="14.25" customHeight="1">
      <c r="A105" s="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2"/>
    </row>
    <row r="106" ht="14.25" customHeight="1">
      <c r="A106" s="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2"/>
    </row>
    <row r="107" ht="14.25" customHeight="1">
      <c r="A107" s="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2"/>
    </row>
    <row r="108" ht="14.25" customHeight="1">
      <c r="A108" s="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2"/>
    </row>
    <row r="109" ht="14.25" customHeight="1">
      <c r="A109" s="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2"/>
    </row>
    <row r="110" ht="14.25" customHeight="1">
      <c r="A110" s="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2"/>
    </row>
    <row r="111" ht="14.25" customHeight="1">
      <c r="A111" s="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2"/>
    </row>
    <row r="112" ht="14.25" customHeight="1">
      <c r="A112" s="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2"/>
    </row>
    <row r="113" ht="14.25" customHeight="1">
      <c r="A113" s="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2"/>
    </row>
    <row r="114" ht="14.25" customHeight="1">
      <c r="A114" s="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2"/>
    </row>
    <row r="115" ht="14.25" customHeight="1">
      <c r="A115" s="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2"/>
    </row>
    <row r="116" ht="14.25" customHeight="1">
      <c r="A116" s="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2"/>
    </row>
    <row r="117" ht="14.25" customHeight="1">
      <c r="A117" s="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2"/>
    </row>
    <row r="118" ht="14.25" customHeight="1">
      <c r="A118" s="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2"/>
    </row>
    <row r="119" ht="14.25" customHeight="1">
      <c r="A119" s="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2"/>
    </row>
    <row r="120" ht="14.25" customHeight="1">
      <c r="A120" s="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2"/>
    </row>
    <row r="121" ht="14.25" customHeight="1">
      <c r="A121" s="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2"/>
    </row>
    <row r="122" ht="14.25" customHeight="1">
      <c r="A122" s="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2"/>
    </row>
    <row r="123" ht="14.25" customHeight="1">
      <c r="A123" s="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2"/>
    </row>
    <row r="124" ht="14.25" customHeight="1">
      <c r="A124" s="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2"/>
    </row>
    <row r="125" ht="14.25" customHeight="1">
      <c r="A125" s="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2"/>
    </row>
    <row r="126" ht="14.25" customHeight="1">
      <c r="A126" s="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2"/>
    </row>
    <row r="127" ht="14.25" customHeight="1">
      <c r="A127" s="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2"/>
    </row>
    <row r="128" ht="14.25" customHeight="1">
      <c r="A128" s="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2"/>
    </row>
    <row r="129" ht="14.25" customHeight="1">
      <c r="A129" s="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2"/>
    </row>
    <row r="130" ht="14.25" customHeight="1">
      <c r="A130" s="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2"/>
    </row>
    <row r="131" ht="14.25" customHeight="1">
      <c r="A131" s="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2"/>
    </row>
    <row r="132" ht="14.25" customHeight="1">
      <c r="A132" s="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2"/>
    </row>
    <row r="133" ht="14.25" customHeight="1">
      <c r="A133" s="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2"/>
    </row>
    <row r="134" ht="14.25" customHeight="1">
      <c r="A134" s="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2"/>
    </row>
    <row r="135" ht="14.25" customHeight="1">
      <c r="A135" s="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2"/>
    </row>
    <row r="136" ht="14.25" customHeight="1">
      <c r="A136" s="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2"/>
    </row>
    <row r="137" ht="14.25" customHeight="1">
      <c r="A137" s="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2"/>
    </row>
    <row r="138" ht="14.25" customHeight="1">
      <c r="A138" s="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2"/>
    </row>
    <row r="139" ht="14.25" customHeight="1">
      <c r="A139" s="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2"/>
    </row>
    <row r="140" ht="14.25" customHeight="1">
      <c r="A140" s="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2"/>
    </row>
    <row r="141" ht="14.25" customHeight="1">
      <c r="A141" s="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2"/>
    </row>
    <row r="142" ht="14.25" customHeight="1">
      <c r="A142" s="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2"/>
    </row>
    <row r="143" ht="14.25" customHeight="1">
      <c r="A143" s="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2"/>
    </row>
    <row r="144" ht="14.25" customHeight="1">
      <c r="A144" s="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2"/>
    </row>
    <row r="145" ht="14.25" customHeight="1">
      <c r="A145" s="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2"/>
    </row>
    <row r="146" ht="14.25" customHeight="1">
      <c r="A146" s="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2"/>
    </row>
    <row r="147" ht="14.25" customHeight="1">
      <c r="A147" s="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2"/>
    </row>
    <row r="148" ht="14.25" customHeight="1">
      <c r="A148" s="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2"/>
    </row>
    <row r="149" ht="14.25" customHeight="1">
      <c r="A149" s="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2"/>
    </row>
    <row r="150" ht="14.25" customHeight="1">
      <c r="A150" s="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2"/>
    </row>
    <row r="151" ht="14.25" customHeight="1">
      <c r="A151" s="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2"/>
    </row>
    <row r="152" ht="14.25" customHeight="1">
      <c r="A152" s="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2"/>
    </row>
    <row r="153" ht="14.25" customHeight="1">
      <c r="A153" s="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2"/>
    </row>
    <row r="154" ht="14.25" customHeight="1">
      <c r="A154" s="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2"/>
    </row>
    <row r="155" ht="14.25" customHeight="1">
      <c r="A155" s="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2"/>
    </row>
    <row r="156" ht="14.25" customHeight="1">
      <c r="A156" s="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2"/>
    </row>
    <row r="157" ht="14.25" customHeight="1">
      <c r="A157" s="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2"/>
    </row>
    <row r="158" ht="14.25" customHeight="1">
      <c r="A158" s="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2"/>
    </row>
    <row r="159" ht="14.25" customHeight="1">
      <c r="A159" s="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2"/>
    </row>
    <row r="160" ht="14.25" customHeight="1">
      <c r="A160" s="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2"/>
    </row>
    <row r="161" ht="14.25" customHeight="1">
      <c r="A161" s="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2"/>
    </row>
    <row r="162" ht="14.25" customHeight="1">
      <c r="A162" s="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2"/>
    </row>
    <row r="163" ht="14.25" customHeight="1">
      <c r="A163" s="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2"/>
    </row>
    <row r="164" ht="14.25" customHeight="1">
      <c r="A164" s="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2"/>
    </row>
    <row r="165" ht="14.25" customHeight="1">
      <c r="A165" s="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2"/>
    </row>
    <row r="166" ht="14.25" customHeight="1">
      <c r="A166" s="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2"/>
    </row>
    <row r="167" ht="14.25" customHeight="1">
      <c r="A167" s="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2"/>
    </row>
    <row r="168" ht="14.25" customHeight="1">
      <c r="A168" s="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2"/>
    </row>
    <row r="169" ht="14.25" customHeight="1">
      <c r="A169" s="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2"/>
    </row>
    <row r="170" ht="14.25" customHeight="1">
      <c r="A170" s="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2"/>
    </row>
    <row r="171" ht="14.25" customHeight="1">
      <c r="A171" s="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2"/>
    </row>
    <row r="172" ht="14.25" customHeight="1">
      <c r="A172" s="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2"/>
    </row>
    <row r="173" ht="14.25" customHeight="1">
      <c r="A173" s="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2"/>
    </row>
    <row r="174" ht="14.25" customHeight="1">
      <c r="A174" s="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2"/>
    </row>
    <row r="175" ht="14.25" customHeight="1">
      <c r="A175" s="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2"/>
    </row>
    <row r="176" ht="14.25" customHeight="1">
      <c r="A176" s="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2"/>
    </row>
    <row r="177" ht="14.25" customHeight="1">
      <c r="A177" s="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2"/>
    </row>
    <row r="178" ht="14.25" customHeight="1">
      <c r="A178" s="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2"/>
    </row>
    <row r="179" ht="14.25" customHeight="1">
      <c r="A179" s="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2"/>
    </row>
    <row r="180" ht="14.25" customHeight="1">
      <c r="A180" s="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2"/>
    </row>
    <row r="181" ht="14.25" customHeight="1">
      <c r="A181" s="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2"/>
    </row>
    <row r="182" ht="14.25" customHeight="1">
      <c r="A182" s="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2"/>
    </row>
    <row r="183" ht="14.25" customHeight="1">
      <c r="A183" s="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2"/>
    </row>
    <row r="184" ht="14.25" customHeight="1">
      <c r="A184" s="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2"/>
    </row>
    <row r="185" ht="14.25" customHeight="1">
      <c r="A185" s="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2"/>
    </row>
    <row r="186" ht="14.25" customHeight="1">
      <c r="A186" s="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2"/>
    </row>
    <row r="187" ht="14.25" customHeight="1">
      <c r="A187" s="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2"/>
    </row>
    <row r="188" ht="14.25" customHeight="1">
      <c r="A188" s="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2"/>
    </row>
    <row r="189" ht="14.25" customHeight="1">
      <c r="A189" s="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2"/>
    </row>
    <row r="190" ht="14.25" customHeight="1">
      <c r="A190" s="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2"/>
    </row>
    <row r="191" ht="14.25" customHeight="1">
      <c r="A191" s="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2"/>
    </row>
    <row r="192" ht="14.25" customHeight="1">
      <c r="A192" s="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2"/>
    </row>
    <row r="193" ht="14.25" customHeight="1">
      <c r="A193" s="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2"/>
    </row>
    <row r="194" ht="14.25" customHeight="1">
      <c r="A194" s="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2"/>
    </row>
    <row r="195" ht="14.25" customHeight="1">
      <c r="A195" s="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2"/>
    </row>
    <row r="196" ht="14.25" customHeight="1">
      <c r="A196" s="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2"/>
    </row>
    <row r="197" ht="14.25" customHeight="1">
      <c r="A197" s="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2"/>
    </row>
    <row r="198" ht="14.25" customHeight="1">
      <c r="A198" s="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2"/>
    </row>
    <row r="199" ht="14.25" customHeight="1">
      <c r="A199" s="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2"/>
    </row>
    <row r="200" ht="14.25" customHeight="1">
      <c r="A200" s="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2"/>
    </row>
    <row r="201" ht="14.25" customHeight="1">
      <c r="A201" s="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2"/>
    </row>
    <row r="202" ht="14.25" customHeight="1">
      <c r="A202" s="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2"/>
    </row>
    <row r="203" ht="14.25" customHeight="1">
      <c r="A203" s="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2"/>
    </row>
    <row r="204" ht="14.25" customHeight="1">
      <c r="A204" s="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2"/>
    </row>
    <row r="205" ht="14.25" customHeight="1">
      <c r="A205" s="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2"/>
    </row>
    <row r="206" ht="14.25" customHeight="1">
      <c r="A206" s="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2"/>
    </row>
    <row r="207" ht="14.25" customHeight="1">
      <c r="A207" s="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2"/>
    </row>
    <row r="208" ht="14.25" customHeight="1">
      <c r="A208" s="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2"/>
    </row>
    <row r="209" ht="14.25" customHeight="1">
      <c r="A209" s="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2"/>
    </row>
    <row r="210" ht="14.25" customHeight="1">
      <c r="A210" s="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2"/>
    </row>
    <row r="211" ht="14.25" customHeight="1">
      <c r="A211" s="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2"/>
    </row>
    <row r="212" ht="14.25" customHeight="1">
      <c r="A212" s="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2"/>
    </row>
    <row r="213" ht="14.25" customHeight="1">
      <c r="A213" s="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2"/>
    </row>
    <row r="214" ht="14.25" customHeight="1">
      <c r="A214" s="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2"/>
    </row>
    <row r="215" ht="14.25" customHeight="1">
      <c r="A215" s="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2"/>
    </row>
    <row r="216" ht="14.25" customHeight="1">
      <c r="A216" s="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2"/>
    </row>
    <row r="217" ht="14.25" customHeight="1">
      <c r="A217" s="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2"/>
    </row>
    <row r="218" ht="14.25" customHeight="1">
      <c r="A218" s="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2"/>
    </row>
    <row r="219" ht="14.25" customHeight="1">
      <c r="A219" s="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2"/>
    </row>
    <row r="220" ht="14.25" customHeight="1">
      <c r="A220" s="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2"/>
    </row>
    <row r="221" ht="14.25" customHeight="1">
      <c r="A221" s="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2"/>
    </row>
    <row r="222" ht="14.25" customHeight="1">
      <c r="A222" s="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2"/>
    </row>
    <row r="223" ht="14.25" customHeight="1">
      <c r="A223" s="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2"/>
    </row>
    <row r="224" ht="14.25" customHeight="1">
      <c r="A224" s="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2"/>
    </row>
    <row r="225" ht="14.25" customHeight="1">
      <c r="A225" s="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2"/>
    </row>
    <row r="226" ht="14.25" customHeight="1">
      <c r="A226" s="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2"/>
    </row>
    <row r="227" ht="14.25" customHeight="1">
      <c r="A227" s="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2"/>
    </row>
    <row r="228" ht="14.25" customHeight="1">
      <c r="A228" s="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2"/>
    </row>
    <row r="229" ht="14.25" customHeight="1">
      <c r="A229" s="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2"/>
    </row>
    <row r="230" ht="14.25" customHeight="1">
      <c r="A230" s="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2"/>
    </row>
    <row r="231" ht="14.25" customHeight="1">
      <c r="A231" s="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2"/>
    </row>
    <row r="232" ht="14.25" customHeight="1">
      <c r="A232" s="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2"/>
    </row>
    <row r="233" ht="14.25" customHeight="1">
      <c r="A233" s="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2"/>
    </row>
    <row r="234" ht="14.25" customHeight="1">
      <c r="A234" s="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2"/>
    </row>
    <row r="235" ht="14.25" customHeight="1">
      <c r="A235" s="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2"/>
    </row>
    <row r="236" ht="14.25" customHeight="1">
      <c r="A236" s="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2"/>
    </row>
    <row r="237" ht="14.25" customHeight="1">
      <c r="A237" s="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2"/>
    </row>
    <row r="238" ht="14.25" customHeight="1">
      <c r="A238" s="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2"/>
    </row>
    <row r="239" ht="14.25" customHeight="1">
      <c r="A239" s="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2"/>
    </row>
    <row r="240" ht="14.25" customHeight="1">
      <c r="A240" s="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2"/>
    </row>
    <row r="241" ht="14.25" customHeight="1">
      <c r="A241" s="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2"/>
    </row>
    <row r="242" ht="14.25" customHeight="1">
      <c r="A242" s="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2"/>
    </row>
    <row r="243" ht="14.25" customHeight="1">
      <c r="A243" s="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2"/>
    </row>
    <row r="244" ht="14.25" customHeight="1">
      <c r="A244" s="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2"/>
    </row>
    <row r="245" ht="14.25" customHeight="1">
      <c r="A245" s="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2"/>
    </row>
    <row r="246" ht="14.25" customHeight="1">
      <c r="A246" s="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2"/>
    </row>
    <row r="247" ht="14.25" customHeight="1">
      <c r="A247" s="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2"/>
    </row>
    <row r="248" ht="14.25" customHeight="1">
      <c r="A248" s="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2"/>
    </row>
    <row r="249" ht="14.25" customHeight="1">
      <c r="A249" s="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2"/>
    </row>
    <row r="250" ht="14.25" customHeight="1">
      <c r="A250" s="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2"/>
    </row>
    <row r="251" ht="14.25" customHeight="1">
      <c r="A251" s="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2"/>
    </row>
    <row r="252" ht="14.25" customHeight="1">
      <c r="A252" s="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2"/>
    </row>
    <row r="253" ht="14.25" customHeight="1">
      <c r="A253" s="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2"/>
    </row>
    <row r="254" ht="14.25" customHeight="1">
      <c r="A254" s="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2"/>
    </row>
    <row r="255" ht="14.25" customHeight="1">
      <c r="A255" s="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2"/>
    </row>
    <row r="256" ht="14.25" customHeight="1">
      <c r="A256" s="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2"/>
    </row>
    <row r="257" ht="14.25" customHeight="1">
      <c r="A257" s="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2"/>
    </row>
    <row r="258" ht="14.25" customHeight="1">
      <c r="A258" s="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2"/>
    </row>
    <row r="259" ht="14.25" customHeight="1">
      <c r="A259" s="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2"/>
    </row>
    <row r="260" ht="14.25" customHeight="1">
      <c r="A260" s="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2"/>
    </row>
    <row r="261" ht="14.25" customHeight="1">
      <c r="A261" s="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2"/>
    </row>
    <row r="262" ht="14.25" customHeight="1">
      <c r="A262" s="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2"/>
    </row>
    <row r="263" ht="14.25" customHeight="1">
      <c r="A263" s="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2"/>
    </row>
    <row r="264" ht="14.25" customHeight="1">
      <c r="A264" s="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2"/>
    </row>
    <row r="265" ht="14.25" customHeight="1">
      <c r="A265" s="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2"/>
    </row>
    <row r="266" ht="14.25" customHeight="1">
      <c r="A266" s="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2"/>
    </row>
    <row r="267" ht="14.25" customHeight="1">
      <c r="A267" s="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2"/>
    </row>
    <row r="268" ht="14.25" customHeight="1">
      <c r="A268" s="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2"/>
    </row>
    <row r="269" ht="14.25" customHeight="1">
      <c r="A269" s="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2"/>
    </row>
    <row r="270" ht="14.25" customHeight="1">
      <c r="A270" s="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2"/>
    </row>
    <row r="271" ht="14.25" customHeight="1">
      <c r="A271" s="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2"/>
    </row>
    <row r="272" ht="14.25" customHeight="1">
      <c r="A272" s="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2"/>
    </row>
    <row r="273" ht="14.25" customHeight="1">
      <c r="A273" s="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2"/>
    </row>
    <row r="274" ht="14.25" customHeight="1">
      <c r="A274" s="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2"/>
    </row>
    <row r="275" ht="14.25" customHeight="1">
      <c r="A275" s="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2"/>
    </row>
    <row r="276" ht="14.25" customHeight="1">
      <c r="A276" s="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2"/>
    </row>
    <row r="277" ht="14.25" customHeight="1">
      <c r="A277" s="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2"/>
    </row>
    <row r="278" ht="14.25" customHeight="1">
      <c r="A278" s="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2"/>
    </row>
    <row r="279" ht="14.25" customHeight="1">
      <c r="A279" s="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2"/>
    </row>
    <row r="280" ht="14.25" customHeight="1">
      <c r="A280" s="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2"/>
    </row>
    <row r="281" ht="14.25" customHeight="1">
      <c r="A281" s="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2"/>
    </row>
    <row r="282" ht="14.25" customHeight="1">
      <c r="A282" s="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2"/>
    </row>
    <row r="283" ht="14.25" customHeight="1">
      <c r="A283" s="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2"/>
    </row>
    <row r="284" ht="14.25" customHeight="1">
      <c r="A284" s="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2"/>
    </row>
    <row r="285" ht="14.25" customHeight="1">
      <c r="A285" s="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2"/>
    </row>
    <row r="286" ht="14.25" customHeight="1">
      <c r="A286" s="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2"/>
    </row>
    <row r="287" ht="14.25" customHeight="1">
      <c r="A287" s="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2"/>
    </row>
    <row r="288" ht="14.25" customHeight="1">
      <c r="A288" s="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2"/>
    </row>
    <row r="289" ht="14.25" customHeight="1">
      <c r="A289" s="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2"/>
    </row>
    <row r="290" ht="14.25" customHeight="1">
      <c r="A290" s="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2"/>
    </row>
    <row r="291" ht="14.25" customHeight="1">
      <c r="A291" s="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2"/>
    </row>
    <row r="292" ht="14.25" customHeight="1">
      <c r="A292" s="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2"/>
    </row>
    <row r="293" ht="14.25" customHeight="1">
      <c r="A293" s="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2"/>
    </row>
    <row r="294" ht="14.25" customHeight="1">
      <c r="A294" s="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2"/>
    </row>
    <row r="295" ht="14.25" customHeight="1">
      <c r="A295" s="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2"/>
    </row>
    <row r="296" ht="14.25" customHeight="1">
      <c r="A296" s="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2"/>
    </row>
    <row r="297" ht="14.25" customHeight="1">
      <c r="A297" s="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2"/>
    </row>
    <row r="298" ht="14.25" customHeight="1">
      <c r="A298" s="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2"/>
    </row>
    <row r="299" ht="14.25" customHeight="1">
      <c r="A299" s="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2"/>
    </row>
    <row r="300" ht="14.25" customHeight="1">
      <c r="A300" s="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2"/>
    </row>
    <row r="301" ht="14.25" customHeight="1">
      <c r="A301" s="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2"/>
    </row>
    <row r="302" ht="14.25" customHeight="1">
      <c r="A302" s="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2"/>
    </row>
    <row r="303" ht="14.25" customHeight="1">
      <c r="A303" s="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2"/>
    </row>
    <row r="304" ht="14.25" customHeight="1">
      <c r="A304" s="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2"/>
    </row>
    <row r="305" ht="14.25" customHeight="1">
      <c r="A305" s="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2"/>
    </row>
    <row r="306" ht="14.25" customHeight="1">
      <c r="A306" s="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2"/>
    </row>
    <row r="307" ht="14.25" customHeight="1">
      <c r="A307" s="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2"/>
    </row>
    <row r="308" ht="14.25" customHeight="1">
      <c r="A308" s="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2"/>
    </row>
    <row r="309" ht="14.25" customHeight="1">
      <c r="A309" s="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2"/>
    </row>
    <row r="310" ht="14.25" customHeight="1">
      <c r="A310" s="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2"/>
    </row>
    <row r="311" ht="14.25" customHeight="1">
      <c r="A311" s="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2"/>
    </row>
    <row r="312" ht="14.25" customHeight="1">
      <c r="A312" s="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2"/>
    </row>
    <row r="313" ht="14.25" customHeight="1">
      <c r="A313" s="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2"/>
    </row>
    <row r="314" ht="14.25" customHeight="1">
      <c r="A314" s="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2"/>
    </row>
    <row r="315" ht="14.25" customHeight="1">
      <c r="A315" s="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2"/>
    </row>
    <row r="316" ht="14.25" customHeight="1">
      <c r="A316" s="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2"/>
    </row>
    <row r="317" ht="14.25" customHeight="1">
      <c r="A317" s="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2"/>
    </row>
    <row r="318" ht="14.25" customHeight="1">
      <c r="A318" s="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2"/>
    </row>
    <row r="319" ht="14.25" customHeight="1">
      <c r="A319" s="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2"/>
    </row>
    <row r="320" ht="14.25" customHeight="1">
      <c r="A320" s="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2"/>
    </row>
    <row r="321" ht="14.25" customHeight="1">
      <c r="A321" s="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2"/>
    </row>
    <row r="322" ht="14.25" customHeight="1">
      <c r="A322" s="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2"/>
    </row>
    <row r="323" ht="14.25" customHeight="1">
      <c r="A323" s="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2"/>
    </row>
    <row r="324" ht="14.25" customHeight="1">
      <c r="A324" s="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2"/>
    </row>
    <row r="325" ht="14.25" customHeight="1">
      <c r="A325" s="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2"/>
    </row>
    <row r="326" ht="14.25" customHeight="1">
      <c r="A326" s="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2"/>
    </row>
    <row r="327" ht="14.25" customHeight="1">
      <c r="A327" s="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2"/>
    </row>
    <row r="328" ht="14.25" customHeight="1">
      <c r="A328" s="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2"/>
    </row>
    <row r="329" ht="14.25" customHeight="1">
      <c r="A329" s="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2"/>
    </row>
    <row r="330" ht="14.25" customHeight="1">
      <c r="A330" s="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2"/>
    </row>
    <row r="331" ht="14.25" customHeight="1">
      <c r="A331" s="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2"/>
    </row>
    <row r="332" ht="14.25" customHeight="1">
      <c r="A332" s="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2"/>
    </row>
    <row r="333" ht="14.25" customHeight="1">
      <c r="A333" s="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2"/>
    </row>
    <row r="334" ht="14.25" customHeight="1">
      <c r="A334" s="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2"/>
    </row>
    <row r="335" ht="14.25" customHeight="1">
      <c r="A335" s="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2"/>
    </row>
    <row r="336" ht="14.25" customHeight="1">
      <c r="A336" s="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2"/>
    </row>
    <row r="337" ht="14.25" customHeight="1">
      <c r="A337" s="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2"/>
    </row>
    <row r="338" ht="14.25" customHeight="1">
      <c r="A338" s="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2"/>
    </row>
    <row r="339" ht="14.25" customHeight="1">
      <c r="A339" s="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2"/>
    </row>
    <row r="340" ht="14.25" customHeight="1">
      <c r="A340" s="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2"/>
    </row>
    <row r="341" ht="14.25" customHeight="1">
      <c r="A341" s="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2"/>
    </row>
    <row r="342" ht="14.25" customHeight="1">
      <c r="A342" s="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2"/>
    </row>
    <row r="343" ht="14.25" customHeight="1">
      <c r="A343" s="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2"/>
    </row>
    <row r="344" ht="14.25" customHeight="1">
      <c r="A344" s="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2"/>
    </row>
    <row r="345" ht="14.25" customHeight="1">
      <c r="A345" s="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2"/>
    </row>
    <row r="346" ht="14.25" customHeight="1">
      <c r="A346" s="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2"/>
    </row>
    <row r="347" ht="14.25" customHeight="1">
      <c r="A347" s="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2"/>
    </row>
    <row r="348" ht="14.25" customHeight="1">
      <c r="A348" s="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2"/>
    </row>
    <row r="349" ht="14.25" customHeight="1">
      <c r="A349" s="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2"/>
    </row>
    <row r="350" ht="14.25" customHeight="1">
      <c r="A350" s="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2"/>
    </row>
    <row r="351" ht="14.25" customHeight="1">
      <c r="A351" s="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2"/>
    </row>
    <row r="352" ht="14.25" customHeight="1">
      <c r="A352" s="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2"/>
    </row>
    <row r="353" ht="14.25" customHeight="1">
      <c r="A353" s="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2"/>
    </row>
    <row r="354" ht="14.25" customHeight="1">
      <c r="A354" s="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2"/>
    </row>
    <row r="355" ht="14.25" customHeight="1">
      <c r="A355" s="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2"/>
    </row>
    <row r="356" ht="14.25" customHeight="1">
      <c r="A356" s="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2"/>
    </row>
    <row r="357" ht="14.25" customHeight="1">
      <c r="A357" s="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2"/>
    </row>
    <row r="358" ht="14.25" customHeight="1">
      <c r="A358" s="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2"/>
    </row>
    <row r="359" ht="14.25" customHeight="1">
      <c r="A359" s="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2"/>
    </row>
    <row r="360" ht="14.25" customHeight="1">
      <c r="A360" s="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2"/>
    </row>
    <row r="361" ht="14.25" customHeight="1">
      <c r="A361" s="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2"/>
    </row>
    <row r="362" ht="14.25" customHeight="1">
      <c r="A362" s="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2"/>
    </row>
    <row r="363" ht="14.25" customHeight="1">
      <c r="A363" s="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2"/>
    </row>
    <row r="364" ht="14.25" customHeight="1">
      <c r="A364" s="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2"/>
    </row>
    <row r="365" ht="14.25" customHeight="1">
      <c r="A365" s="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2"/>
    </row>
    <row r="366" ht="14.25" customHeight="1">
      <c r="A366" s="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2"/>
    </row>
    <row r="367" ht="14.25" customHeight="1">
      <c r="A367" s="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2"/>
    </row>
    <row r="368" ht="14.25" customHeight="1">
      <c r="A368" s="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2"/>
    </row>
    <row r="369" ht="14.25" customHeight="1">
      <c r="A369" s="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2"/>
    </row>
    <row r="370" ht="14.25" customHeight="1">
      <c r="A370" s="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2"/>
    </row>
    <row r="371" ht="14.25" customHeight="1">
      <c r="A371" s="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2"/>
    </row>
    <row r="372" ht="14.25" customHeight="1">
      <c r="A372" s="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2"/>
    </row>
    <row r="373" ht="14.25" customHeight="1">
      <c r="A373" s="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2"/>
    </row>
    <row r="374" ht="14.25" customHeight="1">
      <c r="A374" s="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2"/>
    </row>
    <row r="375" ht="14.25" customHeight="1">
      <c r="A375" s="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2"/>
    </row>
    <row r="376" ht="14.25" customHeight="1">
      <c r="A376" s="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2"/>
    </row>
    <row r="377" ht="14.25" customHeight="1">
      <c r="A377" s="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2"/>
    </row>
    <row r="378" ht="14.25" customHeight="1">
      <c r="A378" s="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2"/>
    </row>
    <row r="379" ht="14.25" customHeight="1">
      <c r="A379" s="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2"/>
    </row>
    <row r="380" ht="14.25" customHeight="1">
      <c r="A380" s="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2"/>
    </row>
    <row r="381" ht="14.25" customHeight="1">
      <c r="A381" s="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2"/>
    </row>
    <row r="382" ht="14.25" customHeight="1">
      <c r="A382" s="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2"/>
    </row>
    <row r="383" ht="14.25" customHeight="1">
      <c r="A383" s="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2"/>
    </row>
    <row r="384" ht="14.25" customHeight="1">
      <c r="A384" s="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2"/>
    </row>
    <row r="385" ht="14.25" customHeight="1">
      <c r="A385" s="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2"/>
    </row>
    <row r="386" ht="14.25" customHeight="1">
      <c r="A386" s="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2"/>
    </row>
    <row r="387" ht="14.25" customHeight="1">
      <c r="A387" s="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2"/>
    </row>
    <row r="388" ht="14.25" customHeight="1">
      <c r="A388" s="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2"/>
    </row>
    <row r="389" ht="14.25" customHeight="1">
      <c r="A389" s="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2"/>
    </row>
    <row r="390" ht="14.25" customHeight="1">
      <c r="A390" s="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2"/>
    </row>
    <row r="391" ht="14.25" customHeight="1">
      <c r="A391" s="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2"/>
    </row>
    <row r="392" ht="14.25" customHeight="1">
      <c r="A392" s="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2"/>
    </row>
    <row r="393" ht="14.25" customHeight="1">
      <c r="A393" s="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2"/>
    </row>
    <row r="394" ht="14.25" customHeight="1">
      <c r="A394" s="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2"/>
    </row>
    <row r="395" ht="14.25" customHeight="1">
      <c r="A395" s="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2"/>
    </row>
    <row r="396" ht="14.25" customHeight="1">
      <c r="A396" s="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2"/>
    </row>
    <row r="397" ht="14.25" customHeight="1">
      <c r="A397" s="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2"/>
    </row>
    <row r="398" ht="14.25" customHeight="1">
      <c r="A398" s="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2"/>
    </row>
    <row r="399" ht="14.25" customHeight="1">
      <c r="A399" s="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2"/>
    </row>
    <row r="400" ht="14.25" customHeight="1">
      <c r="A400" s="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2"/>
    </row>
    <row r="401" ht="14.25" customHeight="1">
      <c r="A401" s="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2"/>
    </row>
    <row r="402" ht="14.25" customHeight="1">
      <c r="A402" s="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2"/>
    </row>
    <row r="403" ht="14.25" customHeight="1">
      <c r="A403" s="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2"/>
    </row>
    <row r="404" ht="14.25" customHeight="1">
      <c r="A404" s="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2"/>
    </row>
    <row r="405" ht="14.25" customHeight="1">
      <c r="A405" s="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2"/>
    </row>
    <row r="406" ht="14.25" customHeight="1">
      <c r="A406" s="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2"/>
    </row>
    <row r="407" ht="14.25" customHeight="1">
      <c r="A407" s="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2"/>
    </row>
    <row r="408" ht="14.25" customHeight="1">
      <c r="A408" s="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2"/>
    </row>
    <row r="409" ht="14.25" customHeight="1">
      <c r="A409" s="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2"/>
    </row>
    <row r="410" ht="14.25" customHeight="1">
      <c r="A410" s="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2"/>
    </row>
    <row r="411" ht="14.25" customHeight="1">
      <c r="A411" s="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2"/>
    </row>
    <row r="412" ht="14.25" customHeight="1">
      <c r="A412" s="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2"/>
    </row>
    <row r="413" ht="14.25" customHeight="1">
      <c r="A413" s="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2"/>
    </row>
    <row r="414" ht="14.25" customHeight="1">
      <c r="A414" s="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2"/>
    </row>
    <row r="415" ht="14.25" customHeight="1">
      <c r="A415" s="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2"/>
    </row>
    <row r="416" ht="14.25" customHeight="1">
      <c r="A416" s="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2"/>
    </row>
    <row r="417" ht="14.25" customHeight="1">
      <c r="A417" s="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2"/>
    </row>
    <row r="418" ht="14.25" customHeight="1">
      <c r="A418" s="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2"/>
    </row>
    <row r="419" ht="14.25" customHeight="1">
      <c r="A419" s="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2"/>
    </row>
    <row r="420" ht="14.25" customHeight="1">
      <c r="A420" s="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2"/>
    </row>
    <row r="421" ht="14.25" customHeight="1">
      <c r="A421" s="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2"/>
    </row>
    <row r="422" ht="14.25" customHeight="1">
      <c r="A422" s="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2"/>
    </row>
    <row r="423" ht="14.25" customHeight="1">
      <c r="A423" s="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2"/>
    </row>
    <row r="424" ht="14.25" customHeight="1">
      <c r="A424" s="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2"/>
    </row>
    <row r="425" ht="14.25" customHeight="1">
      <c r="A425" s="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2"/>
    </row>
    <row r="426" ht="14.25" customHeight="1">
      <c r="A426" s="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2"/>
    </row>
    <row r="427" ht="14.25" customHeight="1">
      <c r="A427" s="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2"/>
    </row>
    <row r="428" ht="14.25" customHeight="1">
      <c r="A428" s="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2"/>
    </row>
    <row r="429" ht="14.25" customHeight="1">
      <c r="A429" s="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2"/>
    </row>
    <row r="430" ht="14.25" customHeight="1">
      <c r="A430" s="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2"/>
    </row>
    <row r="431" ht="14.25" customHeight="1">
      <c r="A431" s="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2"/>
    </row>
    <row r="432" ht="14.25" customHeight="1">
      <c r="A432" s="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2"/>
    </row>
    <row r="433" ht="14.25" customHeight="1">
      <c r="A433" s="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2"/>
    </row>
    <row r="434" ht="14.25" customHeight="1">
      <c r="A434" s="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2"/>
    </row>
    <row r="435" ht="14.25" customHeight="1">
      <c r="A435" s="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2"/>
    </row>
    <row r="436" ht="14.25" customHeight="1">
      <c r="A436" s="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2"/>
    </row>
    <row r="437" ht="14.25" customHeight="1">
      <c r="A437" s="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2"/>
    </row>
    <row r="438" ht="14.25" customHeight="1">
      <c r="A438" s="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2"/>
    </row>
    <row r="439" ht="14.25" customHeight="1">
      <c r="A439" s="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2"/>
    </row>
    <row r="440" ht="14.25" customHeight="1">
      <c r="A440" s="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2"/>
    </row>
    <row r="441" ht="14.25" customHeight="1">
      <c r="A441" s="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2"/>
    </row>
    <row r="442" ht="14.25" customHeight="1">
      <c r="A442" s="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2"/>
    </row>
    <row r="443" ht="14.25" customHeight="1">
      <c r="A443" s="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2"/>
    </row>
    <row r="444" ht="14.25" customHeight="1">
      <c r="A444" s="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2"/>
    </row>
    <row r="445" ht="14.25" customHeight="1">
      <c r="A445" s="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2"/>
    </row>
    <row r="446" ht="14.25" customHeight="1">
      <c r="A446" s="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2"/>
    </row>
    <row r="447" ht="14.25" customHeight="1">
      <c r="A447" s="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2"/>
    </row>
    <row r="448" ht="14.25" customHeight="1">
      <c r="A448" s="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2"/>
    </row>
    <row r="449" ht="14.25" customHeight="1">
      <c r="A449" s="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2"/>
    </row>
    <row r="450" ht="14.25" customHeight="1">
      <c r="A450" s="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2"/>
    </row>
    <row r="451" ht="14.25" customHeight="1">
      <c r="A451" s="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2"/>
    </row>
    <row r="452" ht="14.25" customHeight="1">
      <c r="A452" s="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2"/>
    </row>
    <row r="453" ht="14.25" customHeight="1">
      <c r="A453" s="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2"/>
    </row>
    <row r="454" ht="14.25" customHeight="1">
      <c r="A454" s="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2"/>
    </row>
    <row r="455" ht="14.25" customHeight="1">
      <c r="A455" s="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2"/>
    </row>
    <row r="456" ht="14.25" customHeight="1">
      <c r="A456" s="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2"/>
    </row>
    <row r="457" ht="14.25" customHeight="1">
      <c r="A457" s="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2"/>
    </row>
    <row r="458" ht="14.25" customHeight="1">
      <c r="A458" s="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2"/>
    </row>
    <row r="459" ht="14.25" customHeight="1">
      <c r="A459" s="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2"/>
    </row>
    <row r="460" ht="14.25" customHeight="1">
      <c r="A460" s="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2"/>
    </row>
    <row r="461" ht="14.25" customHeight="1">
      <c r="A461" s="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2"/>
    </row>
    <row r="462" ht="14.25" customHeight="1">
      <c r="A462" s="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2"/>
    </row>
    <row r="463" ht="14.25" customHeight="1">
      <c r="A463" s="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2"/>
    </row>
    <row r="464" ht="14.25" customHeight="1">
      <c r="A464" s="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2"/>
    </row>
    <row r="465" ht="14.25" customHeight="1">
      <c r="A465" s="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2"/>
    </row>
    <row r="466" ht="14.25" customHeight="1">
      <c r="A466" s="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2"/>
    </row>
    <row r="467" ht="14.25" customHeight="1">
      <c r="A467" s="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2"/>
    </row>
    <row r="468" ht="14.25" customHeight="1">
      <c r="A468" s="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2"/>
    </row>
    <row r="469" ht="14.25" customHeight="1">
      <c r="A469" s="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2"/>
    </row>
    <row r="470" ht="14.25" customHeight="1">
      <c r="A470" s="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2"/>
    </row>
    <row r="471" ht="14.25" customHeight="1">
      <c r="A471" s="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2"/>
    </row>
    <row r="472" ht="14.25" customHeight="1">
      <c r="A472" s="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2"/>
    </row>
    <row r="473" ht="14.25" customHeight="1">
      <c r="A473" s="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2"/>
    </row>
    <row r="474" ht="14.25" customHeight="1">
      <c r="A474" s="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2"/>
    </row>
    <row r="475" ht="14.25" customHeight="1">
      <c r="A475" s="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2"/>
    </row>
    <row r="476" ht="14.25" customHeight="1">
      <c r="A476" s="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2"/>
    </row>
    <row r="477" ht="14.25" customHeight="1">
      <c r="A477" s="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2"/>
    </row>
    <row r="478" ht="14.25" customHeight="1">
      <c r="A478" s="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2"/>
    </row>
    <row r="479" ht="14.25" customHeight="1">
      <c r="A479" s="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2"/>
    </row>
    <row r="480" ht="14.25" customHeight="1">
      <c r="A480" s="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2"/>
    </row>
    <row r="481" ht="14.25" customHeight="1">
      <c r="A481" s="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2"/>
    </row>
    <row r="482" ht="14.25" customHeight="1">
      <c r="A482" s="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2"/>
    </row>
    <row r="483" ht="14.25" customHeight="1">
      <c r="A483" s="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2"/>
    </row>
    <row r="484" ht="14.25" customHeight="1">
      <c r="A484" s="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2"/>
    </row>
    <row r="485" ht="14.25" customHeight="1">
      <c r="A485" s="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2"/>
    </row>
    <row r="486" ht="14.25" customHeight="1">
      <c r="A486" s="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2"/>
    </row>
    <row r="487" ht="14.25" customHeight="1">
      <c r="A487" s="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2"/>
    </row>
    <row r="488" ht="14.25" customHeight="1">
      <c r="A488" s="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2"/>
    </row>
    <row r="489" ht="14.25" customHeight="1">
      <c r="A489" s="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2"/>
    </row>
    <row r="490" ht="14.25" customHeight="1">
      <c r="A490" s="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2"/>
    </row>
    <row r="491" ht="14.25" customHeight="1">
      <c r="A491" s="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2"/>
    </row>
    <row r="492" ht="14.25" customHeight="1">
      <c r="A492" s="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2"/>
    </row>
    <row r="493" ht="14.25" customHeight="1">
      <c r="A493" s="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2"/>
    </row>
    <row r="494" ht="14.25" customHeight="1">
      <c r="A494" s="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2"/>
    </row>
    <row r="495" ht="14.25" customHeight="1">
      <c r="A495" s="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2"/>
    </row>
    <row r="496" ht="14.25" customHeight="1">
      <c r="A496" s="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2"/>
    </row>
    <row r="497" ht="14.25" customHeight="1">
      <c r="A497" s="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2"/>
    </row>
    <row r="498" ht="14.25" customHeight="1">
      <c r="A498" s="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2"/>
    </row>
    <row r="499" ht="14.25" customHeight="1">
      <c r="A499" s="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2"/>
    </row>
    <row r="500" ht="14.25" customHeight="1">
      <c r="A500" s="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2"/>
    </row>
    <row r="501" ht="14.25" customHeight="1">
      <c r="A501" s="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2"/>
    </row>
    <row r="502" ht="14.25" customHeight="1">
      <c r="A502" s="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2"/>
    </row>
    <row r="503" ht="14.25" customHeight="1">
      <c r="A503" s="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2"/>
    </row>
    <row r="504" ht="14.25" customHeight="1">
      <c r="A504" s="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2"/>
    </row>
    <row r="505" ht="14.25" customHeight="1">
      <c r="A505" s="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2"/>
    </row>
    <row r="506" ht="14.25" customHeight="1">
      <c r="A506" s="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2"/>
    </row>
    <row r="507" ht="14.25" customHeight="1">
      <c r="A507" s="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2"/>
    </row>
    <row r="508" ht="14.25" customHeight="1">
      <c r="A508" s="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2"/>
    </row>
    <row r="509" ht="14.25" customHeight="1">
      <c r="A509" s="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2"/>
    </row>
    <row r="510" ht="14.25" customHeight="1">
      <c r="A510" s="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2"/>
    </row>
    <row r="511" ht="14.25" customHeight="1">
      <c r="A511" s="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2"/>
    </row>
    <row r="512" ht="14.25" customHeight="1">
      <c r="A512" s="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2"/>
    </row>
    <row r="513" ht="14.25" customHeight="1">
      <c r="A513" s="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2"/>
    </row>
    <row r="514" ht="14.25" customHeight="1">
      <c r="A514" s="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2"/>
    </row>
    <row r="515" ht="14.25" customHeight="1">
      <c r="A515" s="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2"/>
    </row>
    <row r="516" ht="14.25" customHeight="1">
      <c r="A516" s="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2"/>
    </row>
    <row r="517" ht="14.25" customHeight="1">
      <c r="A517" s="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2"/>
    </row>
    <row r="518" ht="14.25" customHeight="1">
      <c r="A518" s="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2"/>
    </row>
    <row r="519" ht="14.25" customHeight="1">
      <c r="A519" s="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2"/>
    </row>
    <row r="520" ht="14.25" customHeight="1">
      <c r="A520" s="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2"/>
    </row>
    <row r="521" ht="14.25" customHeight="1">
      <c r="A521" s="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2"/>
    </row>
    <row r="522" ht="14.25" customHeight="1">
      <c r="A522" s="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2"/>
    </row>
    <row r="523" ht="14.25" customHeight="1">
      <c r="A523" s="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2"/>
    </row>
    <row r="524" ht="14.25" customHeight="1">
      <c r="A524" s="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2"/>
    </row>
    <row r="525" ht="14.25" customHeight="1">
      <c r="A525" s="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2"/>
    </row>
    <row r="526" ht="14.25" customHeight="1">
      <c r="A526" s="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2"/>
    </row>
    <row r="527" ht="14.25" customHeight="1">
      <c r="A527" s="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2"/>
    </row>
    <row r="528" ht="14.25" customHeight="1">
      <c r="A528" s="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2"/>
    </row>
    <row r="529" ht="14.25" customHeight="1">
      <c r="A529" s="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2"/>
    </row>
    <row r="530" ht="14.25" customHeight="1">
      <c r="A530" s="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2"/>
    </row>
    <row r="531" ht="14.25" customHeight="1">
      <c r="A531" s="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2"/>
    </row>
    <row r="532" ht="14.25" customHeight="1">
      <c r="A532" s="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2"/>
    </row>
    <row r="533" ht="14.25" customHeight="1">
      <c r="A533" s="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2"/>
    </row>
    <row r="534" ht="14.25" customHeight="1">
      <c r="A534" s="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2"/>
    </row>
    <row r="535" ht="14.25" customHeight="1">
      <c r="A535" s="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2"/>
    </row>
    <row r="536" ht="14.25" customHeight="1">
      <c r="A536" s="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2"/>
    </row>
    <row r="537" ht="14.25" customHeight="1">
      <c r="A537" s="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2"/>
    </row>
    <row r="538" ht="14.25" customHeight="1">
      <c r="A538" s="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2"/>
    </row>
    <row r="539" ht="14.25" customHeight="1">
      <c r="A539" s="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2"/>
    </row>
    <row r="540" ht="14.25" customHeight="1">
      <c r="A540" s="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2"/>
    </row>
    <row r="541" ht="14.25" customHeight="1">
      <c r="A541" s="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2"/>
    </row>
    <row r="542" ht="14.25" customHeight="1">
      <c r="A542" s="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2"/>
    </row>
    <row r="543" ht="14.25" customHeight="1">
      <c r="A543" s="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2"/>
    </row>
    <row r="544" ht="14.25" customHeight="1">
      <c r="A544" s="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2"/>
    </row>
    <row r="545" ht="14.25" customHeight="1">
      <c r="A545" s="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2"/>
    </row>
    <row r="546" ht="14.25" customHeight="1">
      <c r="A546" s="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2"/>
    </row>
    <row r="547" ht="14.25" customHeight="1">
      <c r="A547" s="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2"/>
    </row>
    <row r="548" ht="14.25" customHeight="1">
      <c r="A548" s="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2"/>
    </row>
    <row r="549" ht="14.25" customHeight="1">
      <c r="A549" s="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2"/>
    </row>
    <row r="550" ht="14.25" customHeight="1">
      <c r="A550" s="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2"/>
    </row>
    <row r="551" ht="14.25" customHeight="1">
      <c r="A551" s="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2"/>
    </row>
    <row r="552" ht="14.25" customHeight="1">
      <c r="A552" s="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2"/>
    </row>
    <row r="553" ht="14.25" customHeight="1">
      <c r="A553" s="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2"/>
    </row>
    <row r="554" ht="14.25" customHeight="1">
      <c r="A554" s="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2"/>
    </row>
    <row r="555" ht="14.25" customHeight="1">
      <c r="A555" s="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2"/>
    </row>
    <row r="556" ht="14.25" customHeight="1">
      <c r="A556" s="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2"/>
    </row>
    <row r="557" ht="14.25" customHeight="1">
      <c r="A557" s="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2"/>
    </row>
    <row r="558" ht="14.25" customHeight="1">
      <c r="A558" s="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2"/>
    </row>
    <row r="559" ht="14.25" customHeight="1">
      <c r="A559" s="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2"/>
    </row>
    <row r="560" ht="14.25" customHeight="1">
      <c r="A560" s="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2"/>
    </row>
    <row r="561" ht="14.25" customHeight="1">
      <c r="A561" s="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2"/>
    </row>
    <row r="562" ht="14.25" customHeight="1">
      <c r="A562" s="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2"/>
    </row>
    <row r="563" ht="14.25" customHeight="1">
      <c r="A563" s="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2"/>
    </row>
    <row r="564" ht="14.25" customHeight="1">
      <c r="A564" s="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2"/>
    </row>
    <row r="565" ht="14.25" customHeight="1">
      <c r="A565" s="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2"/>
    </row>
    <row r="566" ht="14.25" customHeight="1">
      <c r="A566" s="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2"/>
    </row>
    <row r="567" ht="14.25" customHeight="1">
      <c r="A567" s="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2"/>
    </row>
    <row r="568" ht="14.25" customHeight="1">
      <c r="A568" s="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2"/>
    </row>
    <row r="569" ht="14.25" customHeight="1">
      <c r="A569" s="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2"/>
    </row>
    <row r="570" ht="14.25" customHeight="1">
      <c r="A570" s="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2"/>
    </row>
    <row r="571" ht="14.25" customHeight="1">
      <c r="A571" s="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2"/>
    </row>
    <row r="572" ht="14.25" customHeight="1">
      <c r="A572" s="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2"/>
    </row>
    <row r="573" ht="14.25" customHeight="1">
      <c r="A573" s="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2"/>
    </row>
    <row r="574" ht="14.25" customHeight="1">
      <c r="A574" s="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2"/>
    </row>
    <row r="575" ht="14.25" customHeight="1">
      <c r="A575" s="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2"/>
    </row>
    <row r="576" ht="14.25" customHeight="1">
      <c r="A576" s="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2"/>
    </row>
    <row r="577" ht="14.25" customHeight="1">
      <c r="A577" s="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2"/>
    </row>
    <row r="578" ht="14.25" customHeight="1">
      <c r="A578" s="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2"/>
    </row>
    <row r="579" ht="14.25" customHeight="1">
      <c r="A579" s="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2"/>
    </row>
    <row r="580" ht="14.25" customHeight="1">
      <c r="A580" s="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2"/>
    </row>
    <row r="581" ht="14.25" customHeight="1">
      <c r="A581" s="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2"/>
    </row>
    <row r="582" ht="14.25" customHeight="1">
      <c r="A582" s="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2"/>
    </row>
    <row r="583" ht="14.25" customHeight="1">
      <c r="A583" s="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2"/>
    </row>
    <row r="584" ht="14.25" customHeight="1">
      <c r="A584" s="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2"/>
    </row>
    <row r="585" ht="14.25" customHeight="1">
      <c r="A585" s="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2"/>
    </row>
    <row r="586" ht="14.25" customHeight="1">
      <c r="A586" s="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2"/>
    </row>
    <row r="587" ht="14.25" customHeight="1">
      <c r="A587" s="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2"/>
    </row>
    <row r="588" ht="14.25" customHeight="1">
      <c r="A588" s="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2"/>
    </row>
    <row r="589" ht="14.25" customHeight="1">
      <c r="A589" s="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2"/>
    </row>
    <row r="590" ht="14.25" customHeight="1">
      <c r="A590" s="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2"/>
    </row>
    <row r="591" ht="14.25" customHeight="1">
      <c r="A591" s="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2"/>
    </row>
    <row r="592" ht="14.25" customHeight="1">
      <c r="A592" s="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2"/>
    </row>
    <row r="593" ht="14.25" customHeight="1">
      <c r="A593" s="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2"/>
    </row>
    <row r="594" ht="14.25" customHeight="1">
      <c r="A594" s="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2"/>
    </row>
    <row r="595" ht="14.25" customHeight="1">
      <c r="A595" s="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2"/>
    </row>
    <row r="596" ht="14.25" customHeight="1">
      <c r="A596" s="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2"/>
    </row>
    <row r="597" ht="14.25" customHeight="1">
      <c r="A597" s="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2"/>
    </row>
    <row r="598" ht="14.25" customHeight="1">
      <c r="A598" s="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2"/>
    </row>
    <row r="599" ht="14.25" customHeight="1">
      <c r="A599" s="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2"/>
    </row>
    <row r="600" ht="14.25" customHeight="1">
      <c r="A600" s="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2"/>
    </row>
    <row r="601" ht="14.25" customHeight="1">
      <c r="A601" s="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2"/>
    </row>
    <row r="602" ht="14.25" customHeight="1">
      <c r="A602" s="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2"/>
    </row>
    <row r="603" ht="14.25" customHeight="1">
      <c r="A603" s="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2"/>
    </row>
    <row r="604" ht="14.25" customHeight="1">
      <c r="A604" s="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2"/>
    </row>
    <row r="605" ht="14.25" customHeight="1">
      <c r="A605" s="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2"/>
    </row>
    <row r="606" ht="14.25" customHeight="1">
      <c r="A606" s="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2"/>
    </row>
    <row r="607" ht="14.25" customHeight="1">
      <c r="A607" s="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2"/>
    </row>
    <row r="608" ht="14.25" customHeight="1">
      <c r="A608" s="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2"/>
    </row>
    <row r="609" ht="14.25" customHeight="1">
      <c r="A609" s="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2"/>
    </row>
    <row r="610" ht="14.25" customHeight="1">
      <c r="A610" s="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2"/>
    </row>
    <row r="611" ht="14.25" customHeight="1">
      <c r="A611" s="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2"/>
    </row>
    <row r="612" ht="14.25" customHeight="1">
      <c r="A612" s="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2"/>
    </row>
    <row r="613" ht="14.25" customHeight="1">
      <c r="A613" s="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2"/>
    </row>
    <row r="614" ht="14.25" customHeight="1">
      <c r="A614" s="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2"/>
    </row>
    <row r="615" ht="14.25" customHeight="1">
      <c r="A615" s="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2"/>
    </row>
    <row r="616" ht="14.25" customHeight="1">
      <c r="A616" s="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2"/>
    </row>
    <row r="617" ht="14.25" customHeight="1">
      <c r="A617" s="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2"/>
    </row>
    <row r="618" ht="14.25" customHeight="1">
      <c r="A618" s="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2"/>
    </row>
    <row r="619" ht="14.25" customHeight="1">
      <c r="A619" s="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2"/>
    </row>
    <row r="620" ht="14.25" customHeight="1">
      <c r="A620" s="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2"/>
    </row>
    <row r="621" ht="14.25" customHeight="1">
      <c r="A621" s="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2"/>
    </row>
    <row r="622" ht="14.25" customHeight="1">
      <c r="A622" s="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2"/>
    </row>
    <row r="623" ht="14.25" customHeight="1">
      <c r="A623" s="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2"/>
    </row>
    <row r="624" ht="14.25" customHeight="1">
      <c r="A624" s="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2"/>
    </row>
    <row r="625" ht="14.25" customHeight="1">
      <c r="A625" s="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2"/>
    </row>
    <row r="626" ht="14.25" customHeight="1">
      <c r="A626" s="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2"/>
    </row>
    <row r="627" ht="14.25" customHeight="1">
      <c r="A627" s="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2"/>
    </row>
    <row r="628" ht="14.25" customHeight="1">
      <c r="A628" s="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2"/>
    </row>
    <row r="629" ht="14.25" customHeight="1">
      <c r="A629" s="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2"/>
    </row>
    <row r="630" ht="14.25" customHeight="1">
      <c r="A630" s="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2"/>
    </row>
    <row r="631" ht="14.25" customHeight="1">
      <c r="A631" s="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2"/>
    </row>
    <row r="632" ht="14.25" customHeight="1">
      <c r="A632" s="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2"/>
    </row>
    <row r="633" ht="14.25" customHeight="1">
      <c r="A633" s="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2"/>
    </row>
    <row r="634" ht="14.25" customHeight="1">
      <c r="A634" s="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2"/>
    </row>
    <row r="635" ht="14.25" customHeight="1">
      <c r="A635" s="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2"/>
    </row>
    <row r="636" ht="14.25" customHeight="1">
      <c r="A636" s="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2"/>
    </row>
    <row r="637" ht="14.25" customHeight="1">
      <c r="A637" s="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2"/>
    </row>
    <row r="638" ht="14.25" customHeight="1">
      <c r="A638" s="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2"/>
    </row>
    <row r="639" ht="14.25" customHeight="1">
      <c r="A639" s="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2"/>
    </row>
    <row r="640" ht="14.25" customHeight="1">
      <c r="A640" s="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2"/>
    </row>
    <row r="641" ht="14.25" customHeight="1">
      <c r="A641" s="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2"/>
    </row>
    <row r="642" ht="14.25" customHeight="1">
      <c r="A642" s="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2"/>
    </row>
    <row r="643" ht="14.25" customHeight="1">
      <c r="A643" s="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2"/>
    </row>
    <row r="644" ht="14.25" customHeight="1">
      <c r="A644" s="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2"/>
    </row>
    <row r="645" ht="14.25" customHeight="1">
      <c r="A645" s="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2"/>
    </row>
    <row r="646" ht="14.25" customHeight="1">
      <c r="A646" s="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2"/>
    </row>
    <row r="647" ht="14.25" customHeight="1">
      <c r="A647" s="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2"/>
    </row>
    <row r="648" ht="14.25" customHeight="1">
      <c r="A648" s="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2"/>
    </row>
    <row r="649" ht="14.25" customHeight="1">
      <c r="A649" s="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2"/>
    </row>
    <row r="650" ht="14.25" customHeight="1">
      <c r="A650" s="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2"/>
    </row>
    <row r="651" ht="14.25" customHeight="1">
      <c r="A651" s="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2"/>
    </row>
    <row r="652" ht="14.25" customHeight="1">
      <c r="A652" s="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2"/>
    </row>
    <row r="653" ht="14.25" customHeight="1">
      <c r="A653" s="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2"/>
    </row>
    <row r="654" ht="14.25" customHeight="1">
      <c r="A654" s="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2"/>
    </row>
    <row r="655" ht="14.25" customHeight="1">
      <c r="A655" s="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2"/>
    </row>
    <row r="656" ht="14.25" customHeight="1">
      <c r="A656" s="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2"/>
    </row>
    <row r="657" ht="14.25" customHeight="1">
      <c r="A657" s="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2"/>
    </row>
    <row r="658" ht="14.25" customHeight="1">
      <c r="A658" s="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2"/>
    </row>
    <row r="659" ht="14.25" customHeight="1">
      <c r="A659" s="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2"/>
    </row>
    <row r="660" ht="14.25" customHeight="1">
      <c r="A660" s="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2"/>
    </row>
    <row r="661" ht="14.25" customHeight="1">
      <c r="A661" s="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2"/>
    </row>
    <row r="662" ht="14.25" customHeight="1">
      <c r="A662" s="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2"/>
    </row>
    <row r="663" ht="14.25" customHeight="1">
      <c r="A663" s="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2"/>
    </row>
    <row r="664" ht="14.25" customHeight="1">
      <c r="A664" s="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2"/>
    </row>
    <row r="665" ht="14.25" customHeight="1">
      <c r="A665" s="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2"/>
    </row>
    <row r="666" ht="14.25" customHeight="1">
      <c r="A666" s="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2"/>
    </row>
    <row r="667" ht="14.25" customHeight="1">
      <c r="A667" s="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2"/>
    </row>
    <row r="668" ht="14.25" customHeight="1">
      <c r="A668" s="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2"/>
    </row>
    <row r="669" ht="14.25" customHeight="1">
      <c r="A669" s="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2"/>
    </row>
    <row r="670" ht="14.25" customHeight="1">
      <c r="A670" s="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2"/>
    </row>
    <row r="671" ht="14.25" customHeight="1">
      <c r="A671" s="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2"/>
    </row>
    <row r="672" ht="14.25" customHeight="1">
      <c r="A672" s="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2"/>
    </row>
    <row r="673" ht="14.25" customHeight="1">
      <c r="A673" s="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2"/>
    </row>
    <row r="674" ht="14.25" customHeight="1">
      <c r="A674" s="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2"/>
    </row>
    <row r="675" ht="14.25" customHeight="1">
      <c r="A675" s="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2"/>
    </row>
    <row r="676" ht="14.25" customHeight="1">
      <c r="A676" s="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2"/>
    </row>
    <row r="677" ht="14.25" customHeight="1">
      <c r="A677" s="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2"/>
    </row>
    <row r="678" ht="14.25" customHeight="1">
      <c r="A678" s="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2"/>
    </row>
    <row r="679" ht="14.25" customHeight="1">
      <c r="A679" s="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2"/>
    </row>
    <row r="680" ht="14.25" customHeight="1">
      <c r="A680" s="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2"/>
    </row>
    <row r="681" ht="14.25" customHeight="1">
      <c r="A681" s="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2"/>
    </row>
    <row r="682" ht="14.25" customHeight="1">
      <c r="A682" s="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2"/>
    </row>
    <row r="683" ht="14.25" customHeight="1">
      <c r="A683" s="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2"/>
    </row>
    <row r="684" ht="14.25" customHeight="1">
      <c r="A684" s="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2"/>
    </row>
    <row r="685" ht="14.25" customHeight="1">
      <c r="A685" s="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2"/>
    </row>
    <row r="686" ht="14.25" customHeight="1">
      <c r="A686" s="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2"/>
    </row>
    <row r="687" ht="14.25" customHeight="1">
      <c r="A687" s="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2"/>
    </row>
    <row r="688" ht="14.25" customHeight="1">
      <c r="A688" s="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2"/>
    </row>
    <row r="689" ht="14.25" customHeight="1">
      <c r="A689" s="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2"/>
    </row>
    <row r="690" ht="14.25" customHeight="1">
      <c r="A690" s="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2"/>
    </row>
    <row r="691" ht="14.25" customHeight="1">
      <c r="A691" s="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2"/>
    </row>
    <row r="692" ht="14.25" customHeight="1">
      <c r="A692" s="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2"/>
    </row>
    <row r="693" ht="14.25" customHeight="1">
      <c r="A693" s="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2"/>
    </row>
    <row r="694" ht="14.25" customHeight="1">
      <c r="A694" s="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2"/>
    </row>
    <row r="695" ht="14.25" customHeight="1">
      <c r="A695" s="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2"/>
    </row>
    <row r="696" ht="14.25" customHeight="1">
      <c r="A696" s="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2"/>
    </row>
    <row r="697" ht="14.25" customHeight="1">
      <c r="A697" s="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2"/>
    </row>
    <row r="698" ht="14.25" customHeight="1">
      <c r="A698" s="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2"/>
    </row>
    <row r="699" ht="14.25" customHeight="1">
      <c r="A699" s="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2"/>
    </row>
    <row r="700" ht="14.25" customHeight="1">
      <c r="A700" s="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2"/>
    </row>
    <row r="701" ht="14.25" customHeight="1">
      <c r="A701" s="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2"/>
    </row>
    <row r="702" ht="14.25" customHeight="1">
      <c r="A702" s="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2"/>
    </row>
    <row r="703" ht="14.25" customHeight="1">
      <c r="A703" s="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2"/>
    </row>
    <row r="704" ht="14.25" customHeight="1">
      <c r="A704" s="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2"/>
    </row>
    <row r="705" ht="14.25" customHeight="1">
      <c r="A705" s="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2"/>
    </row>
    <row r="706" ht="14.25" customHeight="1">
      <c r="A706" s="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2"/>
    </row>
    <row r="707" ht="14.25" customHeight="1">
      <c r="A707" s="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2"/>
    </row>
    <row r="708" ht="14.25" customHeight="1">
      <c r="A708" s="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2"/>
    </row>
    <row r="709" ht="14.25" customHeight="1">
      <c r="A709" s="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2"/>
    </row>
    <row r="710" ht="14.25" customHeight="1">
      <c r="A710" s="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2"/>
    </row>
    <row r="711" ht="14.25" customHeight="1">
      <c r="A711" s="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2"/>
    </row>
    <row r="712" ht="14.25" customHeight="1">
      <c r="A712" s="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2"/>
    </row>
    <row r="713" ht="14.25" customHeight="1">
      <c r="A713" s="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2"/>
    </row>
    <row r="714" ht="14.25" customHeight="1">
      <c r="A714" s="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2"/>
    </row>
    <row r="715" ht="14.25" customHeight="1">
      <c r="A715" s="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2"/>
    </row>
    <row r="716" ht="14.25" customHeight="1">
      <c r="A716" s="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2"/>
    </row>
    <row r="717" ht="14.25" customHeight="1">
      <c r="A717" s="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2"/>
    </row>
    <row r="718" ht="14.25" customHeight="1">
      <c r="A718" s="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2"/>
    </row>
    <row r="719" ht="14.25" customHeight="1">
      <c r="A719" s="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2"/>
    </row>
    <row r="720" ht="14.25" customHeight="1">
      <c r="A720" s="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2"/>
    </row>
    <row r="721" ht="14.25" customHeight="1">
      <c r="A721" s="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2"/>
    </row>
    <row r="722" ht="14.25" customHeight="1">
      <c r="A722" s="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2"/>
    </row>
    <row r="723" ht="14.25" customHeight="1">
      <c r="A723" s="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2"/>
    </row>
    <row r="724" ht="14.25" customHeight="1">
      <c r="A724" s="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2"/>
    </row>
    <row r="725" ht="14.25" customHeight="1">
      <c r="A725" s="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2"/>
    </row>
    <row r="726" ht="14.25" customHeight="1">
      <c r="A726" s="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2"/>
    </row>
    <row r="727" ht="14.25" customHeight="1">
      <c r="A727" s="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2"/>
    </row>
    <row r="728" ht="14.25" customHeight="1">
      <c r="A728" s="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2"/>
    </row>
    <row r="729" ht="14.25" customHeight="1">
      <c r="A729" s="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2"/>
    </row>
    <row r="730" ht="14.25" customHeight="1">
      <c r="A730" s="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2"/>
    </row>
    <row r="731" ht="14.25" customHeight="1">
      <c r="A731" s="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2"/>
    </row>
    <row r="732" ht="14.25" customHeight="1">
      <c r="A732" s="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2"/>
    </row>
    <row r="733" ht="14.25" customHeight="1">
      <c r="A733" s="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2"/>
    </row>
    <row r="734" ht="14.25" customHeight="1">
      <c r="A734" s="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2"/>
    </row>
    <row r="735" ht="14.25" customHeight="1">
      <c r="A735" s="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2"/>
    </row>
    <row r="736" ht="14.25" customHeight="1">
      <c r="A736" s="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2"/>
    </row>
    <row r="737" ht="14.25" customHeight="1">
      <c r="A737" s="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2"/>
    </row>
    <row r="738" ht="14.25" customHeight="1">
      <c r="A738" s="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2"/>
    </row>
    <row r="739" ht="14.25" customHeight="1">
      <c r="A739" s="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2"/>
    </row>
    <row r="740" ht="14.25" customHeight="1">
      <c r="A740" s="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2"/>
    </row>
    <row r="741" ht="14.25" customHeight="1">
      <c r="A741" s="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2"/>
    </row>
    <row r="742" ht="14.25" customHeight="1">
      <c r="A742" s="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2"/>
    </row>
    <row r="743" ht="14.25" customHeight="1">
      <c r="A743" s="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2"/>
    </row>
    <row r="744" ht="14.25" customHeight="1">
      <c r="A744" s="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2"/>
    </row>
    <row r="745" ht="14.25" customHeight="1">
      <c r="A745" s="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2"/>
    </row>
    <row r="746" ht="14.25" customHeight="1">
      <c r="A746" s="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2"/>
    </row>
    <row r="747" ht="14.25" customHeight="1">
      <c r="A747" s="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2"/>
    </row>
    <row r="748" ht="14.25" customHeight="1">
      <c r="A748" s="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2"/>
    </row>
    <row r="749" ht="14.25" customHeight="1">
      <c r="A749" s="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2"/>
    </row>
    <row r="750" ht="14.25" customHeight="1">
      <c r="A750" s="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2"/>
    </row>
    <row r="751" ht="14.25" customHeight="1">
      <c r="A751" s="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2"/>
    </row>
    <row r="752" ht="14.25" customHeight="1">
      <c r="A752" s="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2"/>
    </row>
    <row r="753" ht="14.25" customHeight="1">
      <c r="A753" s="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2"/>
    </row>
    <row r="754" ht="14.25" customHeight="1">
      <c r="A754" s="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2"/>
    </row>
    <row r="755" ht="14.25" customHeight="1">
      <c r="A755" s="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2"/>
    </row>
    <row r="756" ht="14.25" customHeight="1">
      <c r="A756" s="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2"/>
    </row>
    <row r="757" ht="14.25" customHeight="1">
      <c r="A757" s="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2"/>
    </row>
    <row r="758" ht="14.25" customHeight="1">
      <c r="A758" s="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2"/>
    </row>
    <row r="759" ht="14.25" customHeight="1">
      <c r="A759" s="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2"/>
    </row>
    <row r="760" ht="14.25" customHeight="1">
      <c r="A760" s="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2"/>
    </row>
    <row r="761" ht="14.25" customHeight="1">
      <c r="A761" s="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2"/>
    </row>
    <row r="762" ht="14.25" customHeight="1">
      <c r="A762" s="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2"/>
    </row>
    <row r="763" ht="14.25" customHeight="1">
      <c r="A763" s="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2"/>
    </row>
    <row r="764" ht="14.25" customHeight="1">
      <c r="A764" s="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2"/>
    </row>
    <row r="765" ht="14.25" customHeight="1">
      <c r="A765" s="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2"/>
    </row>
    <row r="766" ht="14.25" customHeight="1">
      <c r="A766" s="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2"/>
    </row>
    <row r="767" ht="14.25" customHeight="1">
      <c r="A767" s="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2"/>
    </row>
    <row r="768" ht="14.25" customHeight="1">
      <c r="A768" s="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2"/>
    </row>
    <row r="769" ht="14.25" customHeight="1">
      <c r="A769" s="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2"/>
    </row>
    <row r="770" ht="14.25" customHeight="1">
      <c r="A770" s="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2"/>
    </row>
    <row r="771" ht="14.25" customHeight="1">
      <c r="A771" s="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2"/>
    </row>
    <row r="772" ht="14.25" customHeight="1">
      <c r="A772" s="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2"/>
    </row>
    <row r="773" ht="14.25" customHeight="1">
      <c r="A773" s="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2"/>
    </row>
    <row r="774" ht="14.25" customHeight="1">
      <c r="A774" s="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2"/>
    </row>
    <row r="775" ht="14.25" customHeight="1">
      <c r="A775" s="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2"/>
    </row>
    <row r="776" ht="14.25" customHeight="1">
      <c r="A776" s="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2"/>
    </row>
    <row r="777" ht="14.25" customHeight="1">
      <c r="A777" s="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2"/>
    </row>
    <row r="778" ht="14.25" customHeight="1">
      <c r="A778" s="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2"/>
    </row>
    <row r="779" ht="14.25" customHeight="1">
      <c r="A779" s="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2"/>
    </row>
    <row r="780" ht="14.25" customHeight="1">
      <c r="A780" s="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2"/>
    </row>
    <row r="781" ht="14.25" customHeight="1">
      <c r="A781" s="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2"/>
    </row>
    <row r="782" ht="14.25" customHeight="1">
      <c r="A782" s="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2"/>
    </row>
    <row r="783" ht="14.25" customHeight="1">
      <c r="A783" s="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2"/>
    </row>
    <row r="784" ht="14.25" customHeight="1">
      <c r="A784" s="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2"/>
    </row>
    <row r="785" ht="14.25" customHeight="1">
      <c r="A785" s="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2"/>
    </row>
    <row r="786" ht="14.25" customHeight="1">
      <c r="A786" s="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2"/>
    </row>
    <row r="787" ht="14.25" customHeight="1">
      <c r="A787" s="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2"/>
    </row>
    <row r="788" ht="14.25" customHeight="1">
      <c r="A788" s="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2"/>
    </row>
    <row r="789" ht="14.25" customHeight="1">
      <c r="A789" s="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2"/>
    </row>
    <row r="790" ht="14.25" customHeight="1">
      <c r="A790" s="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2"/>
    </row>
    <row r="791" ht="14.25" customHeight="1">
      <c r="A791" s="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2"/>
    </row>
    <row r="792" ht="14.25" customHeight="1">
      <c r="A792" s="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2"/>
    </row>
    <row r="793" ht="14.25" customHeight="1">
      <c r="A793" s="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2"/>
    </row>
    <row r="794" ht="14.25" customHeight="1">
      <c r="A794" s="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2"/>
    </row>
    <row r="795" ht="14.25" customHeight="1">
      <c r="A795" s="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2"/>
    </row>
    <row r="796" ht="14.25" customHeight="1">
      <c r="A796" s="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2"/>
    </row>
    <row r="797" ht="14.25" customHeight="1">
      <c r="A797" s="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2"/>
    </row>
    <row r="798" ht="14.25" customHeight="1">
      <c r="A798" s="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2"/>
    </row>
    <row r="799" ht="14.25" customHeight="1">
      <c r="A799" s="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2"/>
    </row>
    <row r="800" ht="14.25" customHeight="1">
      <c r="A800" s="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2"/>
    </row>
    <row r="801" ht="14.25" customHeight="1">
      <c r="A801" s="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2"/>
    </row>
    <row r="802" ht="14.25" customHeight="1">
      <c r="A802" s="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2"/>
    </row>
    <row r="803" ht="14.25" customHeight="1">
      <c r="A803" s="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2"/>
    </row>
    <row r="804" ht="14.25" customHeight="1">
      <c r="A804" s="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2"/>
    </row>
    <row r="805" ht="14.25" customHeight="1">
      <c r="A805" s="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2"/>
    </row>
    <row r="806" ht="14.25" customHeight="1">
      <c r="A806" s="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2"/>
    </row>
    <row r="807" ht="14.25" customHeight="1">
      <c r="A807" s="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2"/>
    </row>
    <row r="808" ht="14.25" customHeight="1">
      <c r="A808" s="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2"/>
    </row>
    <row r="809" ht="14.25" customHeight="1">
      <c r="A809" s="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2"/>
    </row>
    <row r="810" ht="14.25" customHeight="1">
      <c r="A810" s="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2"/>
    </row>
    <row r="811" ht="14.25" customHeight="1">
      <c r="A811" s="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2"/>
    </row>
    <row r="812" ht="14.25" customHeight="1">
      <c r="A812" s="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2"/>
    </row>
    <row r="813" ht="14.25" customHeight="1">
      <c r="A813" s="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2"/>
    </row>
    <row r="814" ht="14.25" customHeight="1">
      <c r="A814" s="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2"/>
    </row>
    <row r="815" ht="14.25" customHeight="1">
      <c r="A815" s="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2"/>
    </row>
    <row r="816" ht="14.25" customHeight="1">
      <c r="A816" s="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2"/>
    </row>
    <row r="817" ht="14.25" customHeight="1">
      <c r="A817" s="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2"/>
    </row>
    <row r="818" ht="14.25" customHeight="1">
      <c r="A818" s="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2"/>
    </row>
    <row r="819" ht="14.25" customHeight="1">
      <c r="A819" s="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2"/>
    </row>
    <row r="820" ht="14.25" customHeight="1">
      <c r="A820" s="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2"/>
    </row>
    <row r="821" ht="14.25" customHeight="1">
      <c r="A821" s="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2"/>
    </row>
    <row r="822" ht="14.25" customHeight="1">
      <c r="A822" s="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2"/>
    </row>
    <row r="823" ht="14.25" customHeight="1">
      <c r="A823" s="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2"/>
    </row>
    <row r="824" ht="14.25" customHeight="1">
      <c r="A824" s="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2"/>
    </row>
    <row r="825" ht="14.25" customHeight="1">
      <c r="A825" s="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2"/>
    </row>
    <row r="826" ht="14.25" customHeight="1">
      <c r="A826" s="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2"/>
    </row>
    <row r="827" ht="14.25" customHeight="1">
      <c r="A827" s="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2"/>
    </row>
    <row r="828" ht="14.25" customHeight="1">
      <c r="A828" s="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2"/>
    </row>
    <row r="829" ht="14.25" customHeight="1">
      <c r="A829" s="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2"/>
    </row>
    <row r="830" ht="14.25" customHeight="1">
      <c r="A830" s="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2"/>
    </row>
    <row r="831" ht="14.25" customHeight="1">
      <c r="A831" s="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2"/>
    </row>
    <row r="832" ht="14.25" customHeight="1">
      <c r="A832" s="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2"/>
    </row>
    <row r="833" ht="14.25" customHeight="1">
      <c r="A833" s="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2"/>
    </row>
    <row r="834" ht="14.25" customHeight="1">
      <c r="A834" s="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2"/>
    </row>
    <row r="835" ht="14.25" customHeight="1">
      <c r="A835" s="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2"/>
    </row>
    <row r="836" ht="14.25" customHeight="1">
      <c r="A836" s="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2"/>
    </row>
    <row r="837" ht="14.25" customHeight="1">
      <c r="A837" s="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2"/>
    </row>
    <row r="838" ht="14.25" customHeight="1">
      <c r="A838" s="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2"/>
    </row>
    <row r="839" ht="14.25" customHeight="1">
      <c r="A839" s="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2"/>
    </row>
    <row r="840" ht="14.25" customHeight="1">
      <c r="A840" s="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2"/>
    </row>
    <row r="841" ht="14.25" customHeight="1">
      <c r="A841" s="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2"/>
    </row>
    <row r="842" ht="14.25" customHeight="1">
      <c r="A842" s="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2"/>
    </row>
    <row r="843" ht="14.25" customHeight="1">
      <c r="A843" s="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2"/>
    </row>
    <row r="844" ht="14.25" customHeight="1">
      <c r="A844" s="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2"/>
    </row>
    <row r="845" ht="14.25" customHeight="1">
      <c r="A845" s="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2"/>
    </row>
    <row r="846" ht="14.25" customHeight="1">
      <c r="A846" s="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2"/>
    </row>
    <row r="847" ht="14.25" customHeight="1">
      <c r="A847" s="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2"/>
    </row>
    <row r="848" ht="14.25" customHeight="1">
      <c r="A848" s="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2"/>
    </row>
    <row r="849" ht="14.25" customHeight="1">
      <c r="A849" s="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2"/>
    </row>
    <row r="850" ht="14.25" customHeight="1">
      <c r="A850" s="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2"/>
    </row>
    <row r="851" ht="14.25" customHeight="1">
      <c r="A851" s="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2"/>
    </row>
    <row r="852" ht="14.25" customHeight="1">
      <c r="A852" s="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2"/>
    </row>
    <row r="853" ht="14.25" customHeight="1">
      <c r="A853" s="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2"/>
    </row>
    <row r="854" ht="14.25" customHeight="1">
      <c r="A854" s="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2"/>
    </row>
    <row r="855" ht="14.25" customHeight="1">
      <c r="A855" s="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2"/>
    </row>
    <row r="856" ht="14.25" customHeight="1">
      <c r="A856" s="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2"/>
    </row>
    <row r="857" ht="14.25" customHeight="1">
      <c r="A857" s="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2"/>
    </row>
    <row r="858" ht="14.25" customHeight="1">
      <c r="A858" s="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2"/>
    </row>
    <row r="859" ht="14.25" customHeight="1">
      <c r="A859" s="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2"/>
    </row>
    <row r="860" ht="14.25" customHeight="1">
      <c r="A860" s="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2"/>
    </row>
    <row r="861" ht="14.25" customHeight="1">
      <c r="A861" s="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2"/>
    </row>
    <row r="862" ht="14.25" customHeight="1">
      <c r="A862" s="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2"/>
    </row>
    <row r="863" ht="14.25" customHeight="1">
      <c r="A863" s="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2"/>
    </row>
    <row r="864" ht="14.25" customHeight="1">
      <c r="A864" s="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2"/>
    </row>
    <row r="865" ht="14.25" customHeight="1">
      <c r="A865" s="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2"/>
    </row>
    <row r="866" ht="14.25" customHeight="1">
      <c r="A866" s="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2"/>
    </row>
    <row r="867" ht="14.25" customHeight="1">
      <c r="A867" s="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2"/>
    </row>
    <row r="868" ht="14.25" customHeight="1">
      <c r="A868" s="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2"/>
    </row>
    <row r="869" ht="14.25" customHeight="1">
      <c r="A869" s="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2"/>
    </row>
    <row r="870" ht="14.25" customHeight="1">
      <c r="A870" s="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2"/>
    </row>
    <row r="871" ht="14.25" customHeight="1">
      <c r="A871" s="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2"/>
    </row>
    <row r="872" ht="14.25" customHeight="1">
      <c r="A872" s="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2"/>
    </row>
    <row r="873" ht="14.25" customHeight="1">
      <c r="A873" s="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2"/>
    </row>
    <row r="874" ht="14.25" customHeight="1">
      <c r="A874" s="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2"/>
    </row>
    <row r="875" ht="14.25" customHeight="1">
      <c r="A875" s="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2"/>
    </row>
    <row r="876" ht="14.25" customHeight="1">
      <c r="A876" s="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2"/>
    </row>
    <row r="877" ht="14.25" customHeight="1">
      <c r="A877" s="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2"/>
    </row>
    <row r="878" ht="14.25" customHeight="1">
      <c r="A878" s="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2"/>
    </row>
    <row r="879" ht="14.25" customHeight="1">
      <c r="A879" s="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2"/>
    </row>
    <row r="880" ht="14.25" customHeight="1">
      <c r="A880" s="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2"/>
    </row>
    <row r="881" ht="14.25" customHeight="1">
      <c r="A881" s="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2"/>
    </row>
    <row r="882" ht="14.25" customHeight="1">
      <c r="A882" s="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2"/>
    </row>
    <row r="883" ht="14.25" customHeight="1">
      <c r="A883" s="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2"/>
    </row>
    <row r="884" ht="14.25" customHeight="1">
      <c r="A884" s="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2"/>
    </row>
    <row r="885" ht="14.25" customHeight="1">
      <c r="A885" s="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2"/>
    </row>
    <row r="886" ht="14.25" customHeight="1">
      <c r="A886" s="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2"/>
    </row>
    <row r="887" ht="14.25" customHeight="1">
      <c r="A887" s="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2"/>
    </row>
    <row r="888" ht="14.25" customHeight="1">
      <c r="A888" s="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2"/>
    </row>
    <row r="889" ht="14.25" customHeight="1">
      <c r="A889" s="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2"/>
    </row>
    <row r="890" ht="14.25" customHeight="1">
      <c r="A890" s="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2"/>
    </row>
    <row r="891" ht="14.25" customHeight="1">
      <c r="A891" s="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2"/>
    </row>
    <row r="892" ht="14.25" customHeight="1">
      <c r="A892" s="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2"/>
    </row>
    <row r="893" ht="14.25" customHeight="1">
      <c r="A893" s="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2"/>
    </row>
    <row r="894" ht="14.25" customHeight="1">
      <c r="A894" s="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2"/>
    </row>
    <row r="895" ht="14.25" customHeight="1">
      <c r="A895" s="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2"/>
    </row>
    <row r="896" ht="14.25" customHeight="1">
      <c r="A896" s="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2"/>
    </row>
    <row r="897" ht="14.25" customHeight="1">
      <c r="A897" s="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2"/>
    </row>
    <row r="898" ht="14.25" customHeight="1">
      <c r="A898" s="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2"/>
    </row>
    <row r="899" ht="14.25" customHeight="1">
      <c r="A899" s="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2"/>
    </row>
    <row r="900" ht="14.25" customHeight="1">
      <c r="A900" s="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2"/>
    </row>
    <row r="901" ht="14.25" customHeight="1">
      <c r="A901" s="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2"/>
    </row>
    <row r="902" ht="14.25" customHeight="1">
      <c r="A902" s="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2"/>
    </row>
    <row r="903" ht="14.25" customHeight="1">
      <c r="A903" s="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2"/>
    </row>
    <row r="904" ht="14.25" customHeight="1">
      <c r="A904" s="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2"/>
    </row>
    <row r="905" ht="14.25" customHeight="1">
      <c r="A905" s="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2"/>
    </row>
    <row r="906" ht="14.25" customHeight="1">
      <c r="A906" s="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2"/>
    </row>
    <row r="907" ht="14.25" customHeight="1">
      <c r="A907" s="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2"/>
    </row>
    <row r="908" ht="14.25" customHeight="1">
      <c r="A908" s="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2"/>
    </row>
    <row r="909" ht="14.25" customHeight="1">
      <c r="A909" s="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2"/>
    </row>
    <row r="910" ht="14.25" customHeight="1">
      <c r="A910" s="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2"/>
    </row>
    <row r="911" ht="14.25" customHeight="1">
      <c r="A911" s="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2"/>
    </row>
    <row r="912" ht="14.25" customHeight="1">
      <c r="A912" s="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2"/>
    </row>
    <row r="913" ht="14.25" customHeight="1">
      <c r="A913" s="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2"/>
    </row>
    <row r="914" ht="14.25" customHeight="1">
      <c r="A914" s="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2"/>
    </row>
    <row r="915" ht="14.25" customHeight="1">
      <c r="A915" s="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2"/>
    </row>
    <row r="916" ht="14.25" customHeight="1">
      <c r="A916" s="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2"/>
    </row>
    <row r="917" ht="14.25" customHeight="1">
      <c r="A917" s="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2"/>
    </row>
    <row r="918" ht="14.25" customHeight="1">
      <c r="A918" s="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2"/>
    </row>
    <row r="919" ht="14.25" customHeight="1">
      <c r="A919" s="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2"/>
    </row>
    <row r="920" ht="14.25" customHeight="1">
      <c r="A920" s="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2"/>
    </row>
    <row r="921" ht="14.25" customHeight="1">
      <c r="A921" s="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2"/>
    </row>
    <row r="922" ht="14.25" customHeight="1">
      <c r="A922" s="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2"/>
    </row>
    <row r="923" ht="14.25" customHeight="1">
      <c r="A923" s="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2"/>
    </row>
    <row r="924" ht="14.25" customHeight="1">
      <c r="A924" s="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2"/>
    </row>
    <row r="925" ht="14.25" customHeight="1">
      <c r="A925" s="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2"/>
    </row>
    <row r="926" ht="14.25" customHeight="1">
      <c r="A926" s="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2"/>
    </row>
    <row r="927" ht="14.25" customHeight="1">
      <c r="A927" s="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2"/>
    </row>
    <row r="928" ht="14.25" customHeight="1">
      <c r="A928" s="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2"/>
    </row>
    <row r="929" ht="14.25" customHeight="1">
      <c r="A929" s="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2"/>
    </row>
    <row r="930" ht="14.25" customHeight="1">
      <c r="A930" s="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2"/>
    </row>
    <row r="931" ht="14.25" customHeight="1">
      <c r="A931" s="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2"/>
    </row>
    <row r="932" ht="14.25" customHeight="1">
      <c r="A932" s="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2"/>
    </row>
    <row r="933" ht="14.25" customHeight="1">
      <c r="A933" s="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2"/>
    </row>
    <row r="934" ht="14.25" customHeight="1">
      <c r="A934" s="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2"/>
    </row>
    <row r="935" ht="14.25" customHeight="1">
      <c r="A935" s="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2"/>
    </row>
    <row r="936" ht="14.25" customHeight="1">
      <c r="A936" s="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2"/>
    </row>
    <row r="937" ht="14.25" customHeight="1">
      <c r="A937" s="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2"/>
    </row>
    <row r="938" ht="14.25" customHeight="1">
      <c r="A938" s="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2"/>
    </row>
    <row r="939" ht="14.25" customHeight="1">
      <c r="A939" s="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2"/>
    </row>
    <row r="940" ht="14.25" customHeight="1">
      <c r="A940" s="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2"/>
    </row>
    <row r="941" ht="14.25" customHeight="1">
      <c r="A941" s="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2"/>
    </row>
    <row r="942" ht="14.25" customHeight="1">
      <c r="A942" s="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2"/>
    </row>
    <row r="943" ht="14.25" customHeight="1">
      <c r="A943" s="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2"/>
    </row>
    <row r="944" ht="14.25" customHeight="1">
      <c r="A944" s="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2"/>
    </row>
    <row r="945" ht="14.25" customHeight="1">
      <c r="A945" s="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2"/>
    </row>
    <row r="946" ht="14.25" customHeight="1">
      <c r="A946" s="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2"/>
    </row>
    <row r="947" ht="14.25" customHeight="1">
      <c r="A947" s="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2"/>
    </row>
    <row r="948" ht="14.25" customHeight="1">
      <c r="A948" s="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2"/>
    </row>
    <row r="949" ht="14.25" customHeight="1">
      <c r="A949" s="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2"/>
    </row>
    <row r="950" ht="14.25" customHeight="1">
      <c r="A950" s="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2"/>
    </row>
    <row r="951" ht="14.25" customHeight="1">
      <c r="A951" s="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2"/>
    </row>
    <row r="952" ht="14.25" customHeight="1">
      <c r="A952" s="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2"/>
    </row>
    <row r="953" ht="14.25" customHeight="1">
      <c r="A953" s="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2"/>
    </row>
    <row r="954" ht="14.25" customHeight="1">
      <c r="A954" s="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2"/>
    </row>
    <row r="955" ht="14.25" customHeight="1">
      <c r="A955" s="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2"/>
    </row>
    <row r="956" ht="14.25" customHeight="1">
      <c r="A956" s="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2"/>
    </row>
    <row r="957" ht="14.25" customHeight="1">
      <c r="A957" s="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2"/>
    </row>
    <row r="958" ht="14.25" customHeight="1">
      <c r="A958" s="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2"/>
    </row>
  </sheetData>
  <mergeCells count="12">
    <mergeCell ref="L15:L17"/>
    <mergeCell ref="L18:L20"/>
    <mergeCell ref="L21:L23"/>
    <mergeCell ref="L24:L26"/>
    <mergeCell ref="L27:L30"/>
    <mergeCell ref="A2:K2"/>
    <mergeCell ref="A3:A4"/>
    <mergeCell ref="B3:J3"/>
    <mergeCell ref="K3:K4"/>
    <mergeCell ref="L6:L8"/>
    <mergeCell ref="L9:L11"/>
    <mergeCell ref="L12:L1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10" width="11.88"/>
    <col customWidth="1" min="11" max="11" width="13.0"/>
    <col customWidth="1" min="12" max="12" width="11.63"/>
    <col customWidth="1" min="13" max="19" width="10.63"/>
  </cols>
  <sheetData>
    <row r="1" ht="14.25" customHeight="1">
      <c r="A1" s="140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3" t="s">
        <v>21</v>
      </c>
      <c r="B2" s="4"/>
      <c r="C2" s="4"/>
      <c r="D2" s="4"/>
      <c r="E2" s="4"/>
      <c r="F2" s="4"/>
      <c r="G2" s="4"/>
      <c r="H2" s="4"/>
      <c r="I2" s="4"/>
      <c r="J2" s="4"/>
      <c r="K2" s="5"/>
    </row>
    <row r="3" ht="18.0" customHeight="1">
      <c r="A3" s="6" t="s">
        <v>1</v>
      </c>
      <c r="B3" s="7" t="s">
        <v>2</v>
      </c>
      <c r="C3" s="8"/>
      <c r="D3" s="8"/>
      <c r="E3" s="8"/>
      <c r="F3" s="8"/>
      <c r="G3" s="8"/>
      <c r="H3" s="8"/>
      <c r="I3" s="8"/>
      <c r="J3" s="9"/>
      <c r="K3" s="10" t="s">
        <v>3</v>
      </c>
      <c r="L3" s="12"/>
      <c r="M3" s="12"/>
      <c r="N3" s="12"/>
      <c r="O3" s="12"/>
      <c r="P3" s="12"/>
      <c r="Q3" s="12"/>
      <c r="R3" s="12"/>
      <c r="S3" s="12"/>
    </row>
    <row r="4" ht="18.0" customHeight="1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6" t="s">
        <v>12</v>
      </c>
      <c r="K4" s="17"/>
    </row>
    <row r="5" ht="18.0" customHeight="1">
      <c r="A5" s="141">
        <v>45931.0</v>
      </c>
      <c r="B5" s="142"/>
      <c r="C5" s="143">
        <v>395.8</v>
      </c>
      <c r="D5" s="144"/>
      <c r="E5" s="144"/>
      <c r="F5" s="145"/>
      <c r="G5" s="145"/>
      <c r="H5" s="146"/>
      <c r="I5" s="147"/>
      <c r="J5" s="148"/>
      <c r="K5" s="149">
        <f t="shared" ref="K5:K31" si="1">SUM(B5:J5)</f>
        <v>395.8</v>
      </c>
      <c r="L5" s="26" t="s">
        <v>13</v>
      </c>
      <c r="M5" s="27"/>
      <c r="N5" s="27"/>
      <c r="O5" s="27"/>
      <c r="P5" s="27"/>
      <c r="Q5" s="27"/>
      <c r="R5" s="27"/>
      <c r="S5" s="27"/>
    </row>
    <row r="6" ht="18.0" customHeight="1">
      <c r="A6" s="150">
        <v>45932.0</v>
      </c>
      <c r="B6" s="151" t="s">
        <v>22</v>
      </c>
      <c r="C6" s="4"/>
      <c r="D6" s="4"/>
      <c r="E6" s="4"/>
      <c r="F6" s="4"/>
      <c r="G6" s="4"/>
      <c r="H6" s="4"/>
      <c r="I6" s="4"/>
      <c r="J6" s="5"/>
      <c r="K6" s="152">
        <f t="shared" si="1"/>
        <v>0</v>
      </c>
      <c r="L6" s="35"/>
      <c r="M6" s="27"/>
      <c r="N6" s="27"/>
      <c r="O6" s="27"/>
      <c r="P6" s="27"/>
      <c r="Q6" s="27"/>
      <c r="R6" s="27"/>
      <c r="S6" s="27"/>
    </row>
    <row r="7" ht="18.0" customHeight="1">
      <c r="A7" s="141">
        <v>45933.0</v>
      </c>
      <c r="B7" s="153">
        <v>82.2</v>
      </c>
      <c r="C7" s="143">
        <v>407.99</v>
      </c>
      <c r="D7" s="144"/>
      <c r="E7" s="143">
        <v>40.0</v>
      </c>
      <c r="F7" s="145"/>
      <c r="G7" s="145"/>
      <c r="H7" s="146"/>
      <c r="I7" s="147"/>
      <c r="J7" s="154">
        <v>10.5</v>
      </c>
      <c r="K7" s="149">
        <f t="shared" si="1"/>
        <v>540.69</v>
      </c>
      <c r="L7" s="38">
        <f>SUM(K5:K8)+4167.28</f>
        <v>7650.47</v>
      </c>
      <c r="N7" s="27"/>
      <c r="O7" s="27"/>
      <c r="P7" s="27"/>
      <c r="Q7" s="27"/>
      <c r="R7" s="27"/>
      <c r="S7" s="27"/>
    </row>
    <row r="8" ht="18.0" customHeight="1">
      <c r="A8" s="155">
        <v>45935.0</v>
      </c>
      <c r="B8" s="156">
        <v>109.6</v>
      </c>
      <c r="C8" s="157">
        <v>2373.9</v>
      </c>
      <c r="D8" s="158"/>
      <c r="E8" s="157">
        <v>63.2</v>
      </c>
      <c r="F8" s="159"/>
      <c r="G8" s="159"/>
      <c r="H8" s="160"/>
      <c r="I8" s="161"/>
      <c r="J8" s="162"/>
      <c r="K8" s="163">
        <f t="shared" si="1"/>
        <v>2546.7</v>
      </c>
      <c r="L8" s="34"/>
      <c r="N8" s="27"/>
      <c r="O8" s="27"/>
      <c r="P8" s="27"/>
      <c r="Q8" s="27"/>
      <c r="R8" s="27"/>
      <c r="S8" s="27"/>
    </row>
    <row r="9" ht="18.0" customHeight="1">
      <c r="A9" s="141">
        <v>45936.0</v>
      </c>
      <c r="B9" s="153">
        <v>77.5</v>
      </c>
      <c r="C9" s="143">
        <v>351.9</v>
      </c>
      <c r="D9" s="144"/>
      <c r="E9" s="143">
        <v>8.0</v>
      </c>
      <c r="F9" s="145"/>
      <c r="G9" s="143">
        <v>36.5</v>
      </c>
      <c r="H9" s="146"/>
      <c r="I9" s="147"/>
      <c r="J9" s="148"/>
      <c r="K9" s="149">
        <f t="shared" si="1"/>
        <v>473.9</v>
      </c>
      <c r="L9" s="26" t="s">
        <v>13</v>
      </c>
      <c r="N9" s="27"/>
      <c r="O9" s="27"/>
      <c r="P9" s="27"/>
      <c r="Q9" s="27"/>
      <c r="R9" s="27"/>
      <c r="S9" s="27"/>
    </row>
    <row r="10" ht="18.0" customHeight="1">
      <c r="A10" s="164">
        <v>45937.0</v>
      </c>
      <c r="B10" s="165" t="s">
        <v>23</v>
      </c>
      <c r="C10" s="166"/>
      <c r="D10" s="166"/>
      <c r="E10" s="166"/>
      <c r="F10" s="166"/>
      <c r="G10" s="166"/>
      <c r="H10" s="166"/>
      <c r="I10" s="166"/>
      <c r="J10" s="167"/>
      <c r="K10" s="152">
        <f t="shared" si="1"/>
        <v>0</v>
      </c>
      <c r="L10" s="34"/>
      <c r="N10" s="27"/>
      <c r="O10" s="27"/>
      <c r="P10" s="27"/>
      <c r="Q10" s="27"/>
      <c r="R10" s="27"/>
      <c r="S10" s="27"/>
    </row>
    <row r="11" ht="18.0" customHeight="1">
      <c r="A11" s="164">
        <v>45938.0</v>
      </c>
      <c r="B11" s="168"/>
      <c r="C11" s="168"/>
      <c r="D11" s="168"/>
      <c r="E11" s="168"/>
      <c r="F11" s="168"/>
      <c r="G11" s="168"/>
      <c r="H11" s="168"/>
      <c r="I11" s="168"/>
      <c r="J11" s="17"/>
      <c r="K11" s="152">
        <f t="shared" si="1"/>
        <v>0</v>
      </c>
      <c r="L11" s="35"/>
      <c r="N11" s="27"/>
      <c r="O11" s="27"/>
      <c r="P11" s="27"/>
      <c r="Q11" s="27"/>
      <c r="R11" s="27"/>
      <c r="S11" s="27"/>
    </row>
    <row r="12" ht="18.0" customHeight="1">
      <c r="A12" s="141">
        <v>45939.0</v>
      </c>
      <c r="B12" s="153">
        <v>90.1</v>
      </c>
      <c r="C12" s="143">
        <v>2361.1</v>
      </c>
      <c r="D12" s="144"/>
      <c r="E12" s="143">
        <v>42.0</v>
      </c>
      <c r="F12" s="145"/>
      <c r="G12" s="145"/>
      <c r="H12" s="146"/>
      <c r="I12" s="147"/>
      <c r="J12" s="148"/>
      <c r="K12" s="149">
        <f t="shared" si="1"/>
        <v>2493.2</v>
      </c>
      <c r="L12" s="38">
        <f>SUM(K9:K14)</f>
        <v>5693.87</v>
      </c>
      <c r="N12" s="27"/>
      <c r="O12" s="27"/>
      <c r="P12" s="27"/>
      <c r="Q12" s="27"/>
      <c r="R12" s="27"/>
      <c r="S12" s="27"/>
    </row>
    <row r="13" ht="18.0" customHeight="1">
      <c r="A13" s="141">
        <v>45940.0</v>
      </c>
      <c r="B13" s="153">
        <v>76.3</v>
      </c>
      <c r="C13" s="143">
        <v>995.87</v>
      </c>
      <c r="D13" s="144"/>
      <c r="E13" s="143">
        <v>105.6</v>
      </c>
      <c r="F13" s="145"/>
      <c r="G13" s="145"/>
      <c r="H13" s="146"/>
      <c r="I13" s="147"/>
      <c r="J13" s="148"/>
      <c r="K13" s="149">
        <f t="shared" si="1"/>
        <v>1177.77</v>
      </c>
      <c r="L13" s="34"/>
      <c r="N13" s="27"/>
      <c r="O13" s="27"/>
      <c r="P13" s="27"/>
      <c r="Q13" s="27"/>
      <c r="R13" s="27"/>
      <c r="S13" s="27"/>
    </row>
    <row r="14" ht="18.0" customHeight="1">
      <c r="A14" s="155">
        <v>45942.0</v>
      </c>
      <c r="B14" s="156">
        <v>48.9</v>
      </c>
      <c r="C14" s="157">
        <v>1500.1</v>
      </c>
      <c r="D14" s="158"/>
      <c r="E14" s="158"/>
      <c r="F14" s="159"/>
      <c r="G14" s="159"/>
      <c r="H14" s="160"/>
      <c r="I14" s="161"/>
      <c r="J14" s="162"/>
      <c r="K14" s="163">
        <f t="shared" si="1"/>
        <v>1549</v>
      </c>
      <c r="L14" s="49"/>
      <c r="N14" s="27"/>
      <c r="O14" s="27"/>
      <c r="P14" s="27"/>
      <c r="Q14" s="27"/>
      <c r="R14" s="27"/>
      <c r="S14" s="27"/>
    </row>
    <row r="15" ht="18.0" customHeight="1">
      <c r="A15" s="141">
        <v>45943.0</v>
      </c>
      <c r="B15" s="153">
        <v>69.7</v>
      </c>
      <c r="C15" s="143">
        <v>703.0</v>
      </c>
      <c r="D15" s="144"/>
      <c r="E15" s="143">
        <v>8.0</v>
      </c>
      <c r="F15" s="145"/>
      <c r="G15" s="145"/>
      <c r="H15" s="146"/>
      <c r="I15" s="147"/>
      <c r="J15" s="154">
        <v>17.15</v>
      </c>
      <c r="K15" s="149">
        <f t="shared" si="1"/>
        <v>797.85</v>
      </c>
      <c r="L15" s="26" t="s">
        <v>13</v>
      </c>
      <c r="N15" s="27"/>
      <c r="O15" s="27"/>
      <c r="P15" s="27"/>
      <c r="Q15" s="27"/>
      <c r="R15" s="27"/>
      <c r="S15" s="27"/>
    </row>
    <row r="16" ht="18.0" customHeight="1">
      <c r="A16" s="150">
        <v>45944.0</v>
      </c>
      <c r="B16" s="165" t="s">
        <v>23</v>
      </c>
      <c r="C16" s="166"/>
      <c r="D16" s="166"/>
      <c r="E16" s="166"/>
      <c r="F16" s="166"/>
      <c r="G16" s="166"/>
      <c r="H16" s="166"/>
      <c r="I16" s="166"/>
      <c r="J16" s="167"/>
      <c r="K16" s="152">
        <f t="shared" si="1"/>
        <v>0</v>
      </c>
      <c r="L16" s="34"/>
      <c r="N16" s="27"/>
      <c r="O16" s="27"/>
      <c r="P16" s="27"/>
      <c r="Q16" s="27"/>
      <c r="R16" s="27"/>
      <c r="S16" s="27"/>
    </row>
    <row r="17" ht="18.0" customHeight="1">
      <c r="A17" s="150">
        <v>45945.0</v>
      </c>
      <c r="B17" s="168"/>
      <c r="C17" s="168"/>
      <c r="D17" s="168"/>
      <c r="E17" s="168"/>
      <c r="F17" s="168"/>
      <c r="G17" s="168"/>
      <c r="H17" s="168"/>
      <c r="I17" s="168"/>
      <c r="J17" s="17"/>
      <c r="K17" s="152">
        <f t="shared" si="1"/>
        <v>0</v>
      </c>
      <c r="L17" s="35"/>
      <c r="N17" s="27"/>
      <c r="O17" s="27"/>
      <c r="P17" s="27"/>
      <c r="Q17" s="27"/>
      <c r="R17" s="27"/>
      <c r="S17" s="27"/>
    </row>
    <row r="18" ht="18.0" customHeight="1">
      <c r="A18" s="141">
        <v>45946.0</v>
      </c>
      <c r="B18" s="153">
        <v>119.3</v>
      </c>
      <c r="C18" s="143">
        <v>2155.1</v>
      </c>
      <c r="D18" s="144"/>
      <c r="E18" s="143">
        <v>166.0</v>
      </c>
      <c r="F18" s="145"/>
      <c r="G18" s="145"/>
      <c r="H18" s="146"/>
      <c r="I18" s="147"/>
      <c r="J18" s="148"/>
      <c r="K18" s="149">
        <f t="shared" si="1"/>
        <v>2440.4</v>
      </c>
      <c r="L18" s="38">
        <f>SUM(K15:K20)</f>
        <v>6417.04</v>
      </c>
      <c r="N18" s="27"/>
      <c r="O18" s="27"/>
      <c r="P18" s="27"/>
      <c r="Q18" s="27"/>
      <c r="R18" s="27"/>
      <c r="S18" s="27"/>
    </row>
    <row r="19" ht="18.0" customHeight="1">
      <c r="A19" s="141">
        <v>45947.0</v>
      </c>
      <c r="B19" s="142"/>
      <c r="C19" s="143">
        <v>725.59</v>
      </c>
      <c r="D19" s="144"/>
      <c r="E19" s="144"/>
      <c r="F19" s="145"/>
      <c r="G19" s="143">
        <v>33.4</v>
      </c>
      <c r="H19" s="146"/>
      <c r="I19" s="147"/>
      <c r="J19" s="148"/>
      <c r="K19" s="149">
        <f t="shared" si="1"/>
        <v>758.99</v>
      </c>
      <c r="L19" s="34"/>
      <c r="N19" s="27"/>
      <c r="O19" s="27"/>
      <c r="P19" s="27"/>
      <c r="Q19" s="27"/>
      <c r="R19" s="27"/>
      <c r="S19" s="27"/>
    </row>
    <row r="20" ht="18.0" customHeight="1">
      <c r="A20" s="155">
        <v>45949.0</v>
      </c>
      <c r="B20" s="156">
        <v>79.7</v>
      </c>
      <c r="C20" s="157">
        <v>2065.6</v>
      </c>
      <c r="D20" s="158"/>
      <c r="E20" s="157">
        <v>63.0</v>
      </c>
      <c r="F20" s="159"/>
      <c r="G20" s="159"/>
      <c r="H20" s="160"/>
      <c r="I20" s="161"/>
      <c r="J20" s="169">
        <v>211.5</v>
      </c>
      <c r="K20" s="163">
        <f t="shared" si="1"/>
        <v>2419.8</v>
      </c>
      <c r="L20" s="49"/>
      <c r="N20" s="27"/>
      <c r="O20" s="27"/>
      <c r="P20" s="27"/>
      <c r="Q20" s="27"/>
      <c r="R20" s="27"/>
      <c r="S20" s="27"/>
    </row>
    <row r="21" ht="18.0" customHeight="1">
      <c r="A21" s="141">
        <v>45950.0</v>
      </c>
      <c r="B21" s="153">
        <v>37.9</v>
      </c>
      <c r="C21" s="143">
        <v>1235.8</v>
      </c>
      <c r="D21" s="144"/>
      <c r="E21" s="144"/>
      <c r="F21" s="145"/>
      <c r="G21" s="145"/>
      <c r="H21" s="146"/>
      <c r="I21" s="147"/>
      <c r="J21" s="148"/>
      <c r="K21" s="149">
        <f t="shared" si="1"/>
        <v>1273.7</v>
      </c>
      <c r="L21" s="26" t="s">
        <v>13</v>
      </c>
      <c r="N21" s="27"/>
      <c r="O21" s="27"/>
      <c r="P21" s="27"/>
      <c r="Q21" s="27"/>
      <c r="R21" s="27"/>
      <c r="S21" s="27"/>
    </row>
    <row r="22" ht="18.0" customHeight="1">
      <c r="A22" s="141">
        <v>45951.0</v>
      </c>
      <c r="B22" s="153">
        <v>109.9</v>
      </c>
      <c r="C22" s="143">
        <v>1443.9</v>
      </c>
      <c r="D22" s="144"/>
      <c r="E22" s="143">
        <v>63.9</v>
      </c>
      <c r="F22" s="145"/>
      <c r="G22" s="145"/>
      <c r="H22" s="146"/>
      <c r="I22" s="170">
        <v>112.9</v>
      </c>
      <c r="J22" s="154">
        <v>27.5</v>
      </c>
      <c r="K22" s="149">
        <f t="shared" si="1"/>
        <v>1758.1</v>
      </c>
      <c r="L22" s="34"/>
      <c r="N22" s="27"/>
      <c r="O22" s="27"/>
      <c r="P22" s="27"/>
      <c r="Q22" s="27"/>
      <c r="R22" s="27"/>
      <c r="S22" s="27"/>
    </row>
    <row r="23" ht="18.0" customHeight="1">
      <c r="A23" s="141">
        <v>45952.0</v>
      </c>
      <c r="B23" s="153">
        <v>104.1</v>
      </c>
      <c r="C23" s="143">
        <v>1476.0</v>
      </c>
      <c r="D23" s="144"/>
      <c r="E23" s="144"/>
      <c r="F23" s="145"/>
      <c r="G23" s="145"/>
      <c r="H23" s="146"/>
      <c r="I23" s="170">
        <v>195.4</v>
      </c>
      <c r="J23" s="148"/>
      <c r="K23" s="149">
        <f t="shared" si="1"/>
        <v>1775.5</v>
      </c>
      <c r="L23" s="35"/>
      <c r="N23" s="27"/>
      <c r="O23" s="27"/>
      <c r="P23" s="27"/>
      <c r="Q23" s="27"/>
      <c r="R23" s="27"/>
      <c r="S23" s="27"/>
    </row>
    <row r="24" ht="18.0" customHeight="1">
      <c r="A24" s="141">
        <v>45953.0</v>
      </c>
      <c r="B24" s="153">
        <v>72.3</v>
      </c>
      <c r="C24" s="143">
        <v>1599.7</v>
      </c>
      <c r="D24" s="144"/>
      <c r="E24" s="143">
        <v>10.0</v>
      </c>
      <c r="F24" s="145"/>
      <c r="G24" s="145"/>
      <c r="H24" s="146"/>
      <c r="I24" s="170">
        <v>48.2</v>
      </c>
      <c r="J24" s="148"/>
      <c r="K24" s="149">
        <f t="shared" si="1"/>
        <v>1730.2</v>
      </c>
      <c r="L24" s="38">
        <f>SUM(K21:K26)</f>
        <v>10139.97</v>
      </c>
      <c r="N24" s="27"/>
      <c r="O24" s="27"/>
      <c r="P24" s="27"/>
      <c r="Q24" s="27"/>
      <c r="R24" s="27"/>
      <c r="S24" s="27"/>
    </row>
    <row r="25" ht="18.0" customHeight="1">
      <c r="A25" s="141">
        <v>45954.0</v>
      </c>
      <c r="B25" s="142"/>
      <c r="C25" s="143">
        <v>478.8</v>
      </c>
      <c r="D25" s="144"/>
      <c r="E25" s="143">
        <v>38.4</v>
      </c>
      <c r="F25" s="145"/>
      <c r="G25" s="145"/>
      <c r="H25" s="146"/>
      <c r="I25" s="170">
        <v>34.0</v>
      </c>
      <c r="J25" s="148"/>
      <c r="K25" s="149">
        <f t="shared" si="1"/>
        <v>551.2</v>
      </c>
      <c r="L25" s="34"/>
      <c r="N25" s="27"/>
      <c r="O25" s="27"/>
      <c r="P25" s="27"/>
      <c r="Q25" s="27"/>
      <c r="R25" s="27"/>
      <c r="S25" s="27"/>
    </row>
    <row r="26" ht="18.0" customHeight="1">
      <c r="A26" s="155">
        <v>45956.0</v>
      </c>
      <c r="B26" s="156">
        <v>99.4</v>
      </c>
      <c r="C26" s="157">
        <v>2184.1</v>
      </c>
      <c r="D26" s="158"/>
      <c r="E26" s="157">
        <v>30.0</v>
      </c>
      <c r="F26" s="159"/>
      <c r="G26" s="157">
        <v>434.25</v>
      </c>
      <c r="H26" s="171"/>
      <c r="I26" s="171">
        <v>303.52</v>
      </c>
      <c r="J26" s="162"/>
      <c r="K26" s="163">
        <f t="shared" si="1"/>
        <v>3051.27</v>
      </c>
      <c r="L26" s="49"/>
      <c r="N26" s="27"/>
      <c r="O26" s="27"/>
      <c r="P26" s="27"/>
      <c r="Q26" s="27"/>
      <c r="R26" s="27"/>
      <c r="S26" s="27"/>
    </row>
    <row r="27" ht="18.0" customHeight="1">
      <c r="A27" s="141">
        <v>45957.0</v>
      </c>
      <c r="B27" s="153">
        <v>57.1</v>
      </c>
      <c r="C27" s="143">
        <v>1286.8</v>
      </c>
      <c r="D27" s="144"/>
      <c r="E27" s="143">
        <v>30.0</v>
      </c>
      <c r="F27" s="145"/>
      <c r="G27" s="145"/>
      <c r="H27" s="146"/>
      <c r="I27" s="170">
        <v>510.0</v>
      </c>
      <c r="J27" s="154">
        <v>61.2</v>
      </c>
      <c r="K27" s="149">
        <f t="shared" si="1"/>
        <v>1945.1</v>
      </c>
      <c r="L27" s="26" t="s">
        <v>13</v>
      </c>
      <c r="N27" s="27"/>
      <c r="O27" s="27"/>
      <c r="P27" s="27"/>
      <c r="Q27" s="27"/>
      <c r="R27" s="27"/>
      <c r="S27" s="27"/>
    </row>
    <row r="28" ht="18.0" customHeight="1">
      <c r="A28" s="141">
        <v>45958.0</v>
      </c>
      <c r="B28" s="153">
        <v>60.4</v>
      </c>
      <c r="C28" s="143">
        <v>1670.3</v>
      </c>
      <c r="D28" s="144"/>
      <c r="E28" s="143">
        <v>32.6</v>
      </c>
      <c r="F28" s="145"/>
      <c r="G28" s="145"/>
      <c r="H28" s="146"/>
      <c r="I28" s="170">
        <v>34.2</v>
      </c>
      <c r="J28" s="154">
        <v>27.2</v>
      </c>
      <c r="K28" s="149">
        <f t="shared" si="1"/>
        <v>1824.7</v>
      </c>
      <c r="L28" s="34"/>
      <c r="N28" s="27"/>
      <c r="O28" s="27"/>
      <c r="P28" s="27"/>
      <c r="Q28" s="27"/>
      <c r="R28" s="27"/>
      <c r="S28" s="27"/>
    </row>
    <row r="29" ht="18.0" customHeight="1">
      <c r="A29" s="141">
        <v>45959.0</v>
      </c>
      <c r="B29" s="153">
        <v>143.8</v>
      </c>
      <c r="C29" s="143">
        <v>1855.6</v>
      </c>
      <c r="D29" s="144"/>
      <c r="E29" s="143">
        <v>60.0</v>
      </c>
      <c r="F29" s="145"/>
      <c r="G29" s="145"/>
      <c r="H29" s="146"/>
      <c r="I29" s="170">
        <v>493.2</v>
      </c>
      <c r="J29" s="148"/>
      <c r="K29" s="149">
        <f t="shared" si="1"/>
        <v>2552.6</v>
      </c>
      <c r="L29" s="35"/>
      <c r="N29" s="27"/>
      <c r="O29" s="27"/>
      <c r="P29" s="27"/>
      <c r="Q29" s="27"/>
      <c r="R29" s="27"/>
      <c r="S29" s="27"/>
    </row>
    <row r="30" ht="18.0" customHeight="1">
      <c r="A30" s="141">
        <v>45960.0</v>
      </c>
      <c r="B30" s="153">
        <v>139.1</v>
      </c>
      <c r="C30" s="143">
        <v>2135.0</v>
      </c>
      <c r="D30" s="144"/>
      <c r="E30" s="143"/>
      <c r="F30" s="145"/>
      <c r="G30" s="145"/>
      <c r="H30" s="146"/>
      <c r="I30" s="170">
        <v>253.8</v>
      </c>
      <c r="J30" s="148"/>
      <c r="K30" s="149">
        <f t="shared" si="1"/>
        <v>2527.9</v>
      </c>
      <c r="L30" s="172">
        <f>SUM(K27:K31)+2801.5</f>
        <v>12282.8</v>
      </c>
      <c r="M30" s="173"/>
      <c r="N30" s="173"/>
      <c r="O30" s="173"/>
      <c r="P30" s="173"/>
      <c r="Q30" s="173"/>
      <c r="R30" s="173"/>
      <c r="S30" s="173"/>
    </row>
    <row r="31" ht="18.0" customHeight="1">
      <c r="A31" s="174">
        <v>45961.0</v>
      </c>
      <c r="B31" s="153">
        <v>39.1</v>
      </c>
      <c r="C31" s="143">
        <v>531.6</v>
      </c>
      <c r="D31" s="144"/>
      <c r="E31" s="143"/>
      <c r="F31" s="145"/>
      <c r="G31" s="145"/>
      <c r="H31" s="146"/>
      <c r="I31" s="170">
        <v>60.3</v>
      </c>
      <c r="J31" s="175"/>
      <c r="K31" s="149">
        <f t="shared" si="1"/>
        <v>631</v>
      </c>
      <c r="L31" s="49"/>
      <c r="M31" s="173"/>
      <c r="N31" s="173"/>
      <c r="O31" s="173"/>
      <c r="P31" s="173"/>
      <c r="Q31" s="173"/>
      <c r="R31" s="173"/>
      <c r="S31" s="173"/>
    </row>
    <row r="32" ht="16.5" customHeight="1">
      <c r="A32" s="128" t="s">
        <v>24</v>
      </c>
      <c r="B32" s="176">
        <f t="shared" ref="B32:K32" si="2">SUM(B5:B31)</f>
        <v>1616.4</v>
      </c>
      <c r="C32" s="177">
        <f t="shared" si="2"/>
        <v>29933.55</v>
      </c>
      <c r="D32" s="177">
        <f t="shared" si="2"/>
        <v>0</v>
      </c>
      <c r="E32" s="177">
        <f t="shared" si="2"/>
        <v>760.7</v>
      </c>
      <c r="F32" s="177">
        <f t="shared" si="2"/>
        <v>0</v>
      </c>
      <c r="G32" s="177">
        <f t="shared" si="2"/>
        <v>504.15</v>
      </c>
      <c r="H32" s="177">
        <f t="shared" si="2"/>
        <v>0</v>
      </c>
      <c r="I32" s="177">
        <f t="shared" si="2"/>
        <v>2045.52</v>
      </c>
      <c r="J32" s="178">
        <f t="shared" si="2"/>
        <v>355.05</v>
      </c>
      <c r="K32" s="179">
        <f t="shared" si="2"/>
        <v>35215.37</v>
      </c>
      <c r="L32" s="180"/>
      <c r="M32" s="181"/>
      <c r="N32" s="181"/>
      <c r="O32" s="181"/>
      <c r="P32" s="181"/>
      <c r="Q32" s="181"/>
      <c r="R32" s="181"/>
      <c r="S32" s="181"/>
    </row>
    <row r="33" ht="5.25" customHeight="1">
      <c r="A33" s="180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3"/>
      <c r="N33" s="183"/>
      <c r="O33" s="183"/>
      <c r="P33" s="183"/>
      <c r="Q33" s="183"/>
      <c r="R33" s="183"/>
      <c r="S33" s="183"/>
    </row>
    <row r="34" ht="16.5" customHeight="1">
      <c r="A34" s="128" t="s">
        <v>19</v>
      </c>
      <c r="B34" s="184">
        <v>1616.4</v>
      </c>
      <c r="C34" s="185">
        <v>29933.55</v>
      </c>
      <c r="D34" s="177"/>
      <c r="E34" s="185">
        <v>760.7</v>
      </c>
      <c r="F34" s="177"/>
      <c r="G34" s="185">
        <v>504.15</v>
      </c>
      <c r="H34" s="177"/>
      <c r="I34" s="185">
        <v>2079.52</v>
      </c>
      <c r="J34" s="186">
        <v>355.05</v>
      </c>
      <c r="K34" s="187">
        <f>SUM(B34:J34)</f>
        <v>35249.37</v>
      </c>
      <c r="L34" s="183"/>
      <c r="M34" s="183"/>
      <c r="N34" s="183"/>
      <c r="O34" s="183"/>
      <c r="P34" s="183"/>
      <c r="Q34" s="183"/>
      <c r="R34" s="183"/>
      <c r="S34" s="183"/>
    </row>
    <row r="35" ht="4.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78"/>
      <c r="M35" s="27"/>
      <c r="N35" s="27"/>
      <c r="O35" s="27"/>
      <c r="P35" s="27"/>
      <c r="Q35" s="27"/>
      <c r="R35" s="27"/>
      <c r="S35" s="27"/>
    </row>
    <row r="36" ht="15.75" customHeight="1">
      <c r="A36" s="134" t="s">
        <v>20</v>
      </c>
      <c r="B36" s="135">
        <f t="shared" ref="B36:K36" si="3">B34-B32</f>
        <v>0</v>
      </c>
      <c r="C36" s="136">
        <f t="shared" si="3"/>
        <v>0</v>
      </c>
      <c r="D36" s="136">
        <f t="shared" si="3"/>
        <v>0</v>
      </c>
      <c r="E36" s="136">
        <f t="shared" si="3"/>
        <v>0</v>
      </c>
      <c r="F36" s="136">
        <f t="shared" si="3"/>
        <v>0</v>
      </c>
      <c r="G36" s="136">
        <f t="shared" si="3"/>
        <v>0</v>
      </c>
      <c r="H36" s="136">
        <f t="shared" si="3"/>
        <v>0</v>
      </c>
      <c r="I36" s="136">
        <f t="shared" si="3"/>
        <v>34</v>
      </c>
      <c r="J36" s="137">
        <f t="shared" si="3"/>
        <v>0</v>
      </c>
      <c r="K36" s="138">
        <f t="shared" si="3"/>
        <v>34</v>
      </c>
      <c r="L36" s="78"/>
      <c r="M36" s="27"/>
      <c r="N36" s="27"/>
      <c r="O36" s="27"/>
      <c r="P36" s="27"/>
      <c r="Q36" s="27"/>
      <c r="R36" s="27"/>
      <c r="S36" s="27"/>
    </row>
    <row r="37" ht="14.2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78"/>
      <c r="M37" s="27"/>
      <c r="N37" s="27"/>
      <c r="O37" s="27"/>
      <c r="P37" s="27"/>
      <c r="Q37" s="27"/>
      <c r="R37" s="27"/>
      <c r="S37" s="27"/>
    </row>
    <row r="38" ht="14.2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78"/>
      <c r="M38" s="27"/>
      <c r="N38" s="27"/>
      <c r="O38" s="27"/>
      <c r="P38" s="27"/>
      <c r="Q38" s="27"/>
      <c r="R38" s="27"/>
      <c r="S38" s="27"/>
    </row>
    <row r="39" ht="14.2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27"/>
      <c r="M39" s="27"/>
      <c r="N39" s="27"/>
      <c r="O39" s="27"/>
      <c r="P39" s="27"/>
      <c r="Q39" s="27"/>
      <c r="R39" s="27"/>
      <c r="S39" s="27"/>
    </row>
    <row r="40" ht="14.2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27"/>
      <c r="M40" s="27"/>
      <c r="N40" s="27"/>
      <c r="O40" s="27"/>
      <c r="P40" s="27"/>
      <c r="Q40" s="27"/>
      <c r="R40" s="27"/>
      <c r="S40" s="27"/>
    </row>
    <row r="41" ht="14.2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27"/>
      <c r="M41" s="27"/>
      <c r="N41" s="27"/>
      <c r="O41" s="27"/>
      <c r="P41" s="27"/>
      <c r="Q41" s="27"/>
      <c r="R41" s="27"/>
      <c r="S41" s="27"/>
    </row>
    <row r="42" ht="14.2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27"/>
      <c r="M42" s="27"/>
      <c r="N42" s="27"/>
      <c r="O42" s="27"/>
      <c r="P42" s="27"/>
      <c r="Q42" s="27"/>
      <c r="R42" s="27"/>
      <c r="S42" s="27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</sheetData>
  <mergeCells count="17">
    <mergeCell ref="A2:K2"/>
    <mergeCell ref="A3:A4"/>
    <mergeCell ref="B3:J3"/>
    <mergeCell ref="K3:K4"/>
    <mergeCell ref="L5:L6"/>
    <mergeCell ref="B6:J6"/>
    <mergeCell ref="L7:L8"/>
    <mergeCell ref="L24:L26"/>
    <mergeCell ref="L27:L29"/>
    <mergeCell ref="L30:L31"/>
    <mergeCell ref="L9:L11"/>
    <mergeCell ref="B10:J11"/>
    <mergeCell ref="L12:L14"/>
    <mergeCell ref="L15:L17"/>
    <mergeCell ref="B16:J17"/>
    <mergeCell ref="L18:L20"/>
    <mergeCell ref="L21:L2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2.13"/>
    <col customWidth="1" min="11" max="11" width="13.25"/>
    <col customWidth="1" min="12" max="12" width="11.75"/>
    <col customWidth="1" min="13" max="25" width="10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3" t="s">
        <v>25</v>
      </c>
      <c r="B2" s="4"/>
      <c r="C2" s="4"/>
      <c r="D2" s="4"/>
      <c r="E2" s="4"/>
      <c r="F2" s="4"/>
      <c r="G2" s="4"/>
      <c r="H2" s="4"/>
      <c r="I2" s="4"/>
      <c r="J2" s="4"/>
      <c r="K2" s="5"/>
    </row>
    <row r="3" ht="18.0" customHeight="1">
      <c r="A3" s="6" t="s">
        <v>1</v>
      </c>
      <c r="B3" s="188" t="s">
        <v>2</v>
      </c>
      <c r="C3" s="166"/>
      <c r="D3" s="166"/>
      <c r="E3" s="166"/>
      <c r="F3" s="166"/>
      <c r="G3" s="166"/>
      <c r="H3" s="166"/>
      <c r="I3" s="166"/>
      <c r="J3" s="167"/>
      <c r="K3" s="10" t="s">
        <v>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8.0" customHeight="1">
      <c r="A4" s="13"/>
      <c r="B4" s="189" t="s">
        <v>4</v>
      </c>
      <c r="C4" s="190" t="s">
        <v>5</v>
      </c>
      <c r="D4" s="190" t="s">
        <v>6</v>
      </c>
      <c r="E4" s="190" t="s">
        <v>7</v>
      </c>
      <c r="F4" s="190" t="s">
        <v>8</v>
      </c>
      <c r="G4" s="190" t="s">
        <v>9</v>
      </c>
      <c r="H4" s="190" t="s">
        <v>10</v>
      </c>
      <c r="I4" s="190" t="s">
        <v>11</v>
      </c>
      <c r="J4" s="191" t="s">
        <v>12</v>
      </c>
      <c r="K4" s="17"/>
    </row>
    <row r="5" ht="18.0" customHeight="1">
      <c r="A5" s="141">
        <v>45925.0</v>
      </c>
      <c r="B5" s="192">
        <v>218.0</v>
      </c>
      <c r="C5" s="193">
        <v>958.4</v>
      </c>
      <c r="D5" s="194"/>
      <c r="E5" s="194"/>
      <c r="F5" s="194"/>
      <c r="G5" s="195"/>
      <c r="H5" s="196"/>
      <c r="I5" s="197"/>
      <c r="J5" s="198"/>
      <c r="K5" s="199">
        <f t="shared" ref="K5:K9" si="1">SUM(B5:J5)</f>
        <v>1176.4</v>
      </c>
      <c r="L5" s="26" t="s">
        <v>13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ht="18.0" customHeight="1">
      <c r="A6" s="174">
        <v>45926.0</v>
      </c>
      <c r="B6" s="153">
        <v>96.0</v>
      </c>
      <c r="C6" s="143">
        <v>251.1</v>
      </c>
      <c r="D6" s="144"/>
      <c r="E6" s="144"/>
      <c r="F6" s="144"/>
      <c r="G6" s="145"/>
      <c r="H6" s="146"/>
      <c r="I6" s="147"/>
      <c r="J6" s="148"/>
      <c r="K6" s="199">
        <f t="shared" si="1"/>
        <v>347.1</v>
      </c>
      <c r="L6" s="38">
        <f>SUM(K5:K7)</f>
        <v>3745.1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ht="18.0" customHeight="1">
      <c r="A7" s="200">
        <v>45928.0</v>
      </c>
      <c r="B7" s="201">
        <v>205.1</v>
      </c>
      <c r="C7" s="202">
        <v>2016.5</v>
      </c>
      <c r="D7" s="203"/>
      <c r="E7" s="203"/>
      <c r="F7" s="203"/>
      <c r="G7" s="204"/>
      <c r="H7" s="205"/>
      <c r="I7" s="206"/>
      <c r="J7" s="207"/>
      <c r="K7" s="208">
        <f t="shared" si="1"/>
        <v>2221.6</v>
      </c>
      <c r="L7" s="49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ht="18.0" customHeight="1">
      <c r="A8" s="141">
        <v>45929.0</v>
      </c>
      <c r="B8" s="153">
        <v>101.5</v>
      </c>
      <c r="C8" s="143">
        <v>1347.5</v>
      </c>
      <c r="D8" s="144"/>
      <c r="E8" s="144"/>
      <c r="F8" s="144"/>
      <c r="G8" s="145"/>
      <c r="H8" s="146"/>
      <c r="I8" s="147"/>
      <c r="J8" s="148"/>
      <c r="K8" s="199">
        <f t="shared" si="1"/>
        <v>1449</v>
      </c>
      <c r="L8" s="26" t="s">
        <v>13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ht="18.0" customHeight="1">
      <c r="A9" s="209">
        <v>45930.0</v>
      </c>
      <c r="B9" s="153">
        <v>176.78</v>
      </c>
      <c r="C9" s="143">
        <v>2541.5</v>
      </c>
      <c r="D9" s="144"/>
      <c r="E9" s="144"/>
      <c r="F9" s="144"/>
      <c r="G9" s="145"/>
      <c r="H9" s="146"/>
      <c r="I9" s="147"/>
      <c r="J9" s="148"/>
      <c r="K9" s="199">
        <f t="shared" si="1"/>
        <v>2718.28</v>
      </c>
      <c r="L9" s="210">
        <f>SUM(K8:K9)</f>
        <v>4167.28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ht="18.0" customHeight="1">
      <c r="A10" s="54" t="s">
        <v>14</v>
      </c>
      <c r="B10" s="55">
        <f t="shared" ref="B10:K10" si="2">SUM(B5:B9)</f>
        <v>797.38</v>
      </c>
      <c r="C10" s="211">
        <f t="shared" si="2"/>
        <v>7115</v>
      </c>
      <c r="D10" s="211">
        <f t="shared" si="2"/>
        <v>0</v>
      </c>
      <c r="E10" s="211">
        <f t="shared" si="2"/>
        <v>0</v>
      </c>
      <c r="F10" s="211">
        <f t="shared" si="2"/>
        <v>0</v>
      </c>
      <c r="G10" s="211">
        <f t="shared" si="2"/>
        <v>0</v>
      </c>
      <c r="H10" s="211">
        <f t="shared" si="2"/>
        <v>0</v>
      </c>
      <c r="I10" s="211">
        <f t="shared" si="2"/>
        <v>0</v>
      </c>
      <c r="J10" s="212">
        <f t="shared" si="2"/>
        <v>0</v>
      </c>
      <c r="K10" s="213">
        <f t="shared" si="2"/>
        <v>7912.38</v>
      </c>
      <c r="L10" s="27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ht="14.2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ht="14.2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ht="14.2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ht="14.25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t="14.2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4.2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ht="14.2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ht="14.2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14.2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t="14.2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</sheetData>
  <mergeCells count="5">
    <mergeCell ref="A2:K2"/>
    <mergeCell ref="A3:A4"/>
    <mergeCell ref="B3:J3"/>
    <mergeCell ref="K3:K4"/>
    <mergeCell ref="L6:L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3.25"/>
    <col customWidth="1" min="12" max="25" width="10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3" t="s">
        <v>26</v>
      </c>
      <c r="B2" s="4"/>
      <c r="C2" s="4"/>
      <c r="D2" s="4"/>
      <c r="E2" s="4"/>
      <c r="F2" s="4"/>
      <c r="G2" s="4"/>
      <c r="H2" s="4"/>
      <c r="I2" s="4"/>
      <c r="J2" s="4"/>
      <c r="K2" s="5"/>
    </row>
    <row r="3" ht="18.0" customHeight="1">
      <c r="A3" s="6" t="s">
        <v>1</v>
      </c>
      <c r="B3" s="7" t="s">
        <v>2</v>
      </c>
      <c r="C3" s="8"/>
      <c r="D3" s="8"/>
      <c r="E3" s="8"/>
      <c r="F3" s="8"/>
      <c r="G3" s="8"/>
      <c r="H3" s="8"/>
      <c r="I3" s="8"/>
      <c r="J3" s="9"/>
      <c r="K3" s="10" t="s">
        <v>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8.0" customHeight="1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6" t="s">
        <v>12</v>
      </c>
      <c r="K4" s="17"/>
    </row>
    <row r="5" ht="18.0" customHeight="1">
      <c r="A5" s="214"/>
      <c r="B5" s="50"/>
      <c r="C5" s="21"/>
      <c r="D5" s="21"/>
      <c r="E5" s="21"/>
      <c r="F5" s="21"/>
      <c r="G5" s="21"/>
      <c r="H5" s="22"/>
      <c r="I5" s="22"/>
      <c r="J5" s="24"/>
      <c r="K5" s="25">
        <f t="shared" ref="K5:K31" si="1">SUM(B5:J5)</f>
        <v>0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ht="18.0" customHeight="1">
      <c r="A6" s="215"/>
      <c r="B6" s="51"/>
      <c r="C6" s="30"/>
      <c r="D6" s="30"/>
      <c r="E6" s="30"/>
      <c r="F6" s="30"/>
      <c r="G6" s="30"/>
      <c r="H6" s="31"/>
      <c r="I6" s="31"/>
      <c r="J6" s="40"/>
      <c r="K6" s="25">
        <f t="shared" si="1"/>
        <v>0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ht="18.0" customHeight="1">
      <c r="A7" s="215"/>
      <c r="B7" s="51"/>
      <c r="C7" s="30"/>
      <c r="D7" s="30"/>
      <c r="E7" s="30"/>
      <c r="F7" s="30"/>
      <c r="G7" s="30"/>
      <c r="H7" s="31"/>
      <c r="I7" s="31"/>
      <c r="J7" s="40"/>
      <c r="K7" s="25">
        <f t="shared" si="1"/>
        <v>0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ht="18.0" customHeight="1">
      <c r="A8" s="216"/>
      <c r="B8" s="50"/>
      <c r="C8" s="21"/>
      <c r="D8" s="21"/>
      <c r="E8" s="21"/>
      <c r="F8" s="21"/>
      <c r="G8" s="21"/>
      <c r="H8" s="22"/>
      <c r="I8" s="22"/>
      <c r="J8" s="24"/>
      <c r="K8" s="25">
        <f t="shared" si="1"/>
        <v>0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ht="18.0" customHeight="1">
      <c r="A9" s="214"/>
      <c r="B9" s="51"/>
      <c r="C9" s="30"/>
      <c r="D9" s="30"/>
      <c r="E9" s="30"/>
      <c r="F9" s="30"/>
      <c r="G9" s="30"/>
      <c r="H9" s="31"/>
      <c r="I9" s="31"/>
      <c r="J9" s="40"/>
      <c r="K9" s="25">
        <f t="shared" si="1"/>
        <v>0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ht="18.0" customHeight="1">
      <c r="A10" s="215"/>
      <c r="B10" s="51"/>
      <c r="C10" s="30"/>
      <c r="D10" s="30"/>
      <c r="E10" s="30"/>
      <c r="F10" s="30"/>
      <c r="G10" s="30"/>
      <c r="H10" s="31"/>
      <c r="I10" s="31"/>
      <c r="J10" s="40"/>
      <c r="K10" s="25">
        <f t="shared" si="1"/>
        <v>0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ht="18.0" customHeight="1">
      <c r="A11" s="215"/>
      <c r="B11" s="51"/>
      <c r="C11" s="30"/>
      <c r="D11" s="30"/>
      <c r="E11" s="30"/>
      <c r="F11" s="30"/>
      <c r="G11" s="30"/>
      <c r="H11" s="31"/>
      <c r="I11" s="31"/>
      <c r="J11" s="40"/>
      <c r="K11" s="25">
        <f t="shared" si="1"/>
        <v>0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ht="18.0" customHeight="1">
      <c r="A12" s="216"/>
      <c r="B12" s="50"/>
      <c r="C12" s="21"/>
      <c r="D12" s="21"/>
      <c r="E12" s="21"/>
      <c r="F12" s="21"/>
      <c r="G12" s="21"/>
      <c r="H12" s="22"/>
      <c r="I12" s="22"/>
      <c r="J12" s="24"/>
      <c r="K12" s="25">
        <f t="shared" si="1"/>
        <v>0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ht="18.0" customHeight="1">
      <c r="A13" s="214"/>
      <c r="B13" s="51"/>
      <c r="C13" s="30"/>
      <c r="D13" s="30"/>
      <c r="E13" s="30"/>
      <c r="F13" s="30"/>
      <c r="G13" s="30"/>
      <c r="H13" s="31"/>
      <c r="I13" s="31"/>
      <c r="J13" s="40"/>
      <c r="K13" s="25">
        <f t="shared" si="1"/>
        <v>0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ht="18.0" customHeight="1">
      <c r="A14" s="215"/>
      <c r="B14" s="217"/>
      <c r="C14" s="218"/>
      <c r="D14" s="218"/>
      <c r="E14" s="218"/>
      <c r="F14" s="218"/>
      <c r="G14" s="30"/>
      <c r="H14" s="31"/>
      <c r="I14" s="219"/>
      <c r="J14" s="220"/>
      <c r="K14" s="25">
        <f t="shared" si="1"/>
        <v>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t="18.0" customHeight="1">
      <c r="A15" s="215"/>
      <c r="B15" s="221"/>
      <c r="C15" s="222"/>
      <c r="D15" s="222"/>
      <c r="E15" s="223"/>
      <c r="F15" s="223"/>
      <c r="G15" s="222"/>
      <c r="H15" s="224"/>
      <c r="I15" s="225"/>
      <c r="J15" s="226"/>
      <c r="K15" s="25">
        <f t="shared" si="1"/>
        <v>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8.0" customHeight="1">
      <c r="A16" s="216"/>
      <c r="B16" s="227"/>
      <c r="C16" s="228"/>
      <c r="D16" s="228"/>
      <c r="E16" s="228"/>
      <c r="F16" s="228"/>
      <c r="G16" s="21"/>
      <c r="H16" s="22"/>
      <c r="I16" s="229"/>
      <c r="J16" s="230"/>
      <c r="K16" s="25">
        <f t="shared" si="1"/>
        <v>0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ht="18.0" customHeight="1">
      <c r="A17" s="214"/>
      <c r="B17" s="217"/>
      <c r="C17" s="218"/>
      <c r="D17" s="30"/>
      <c r="E17" s="30"/>
      <c r="F17" s="30"/>
      <c r="G17" s="30"/>
      <c r="H17" s="31"/>
      <c r="I17" s="219"/>
      <c r="J17" s="220"/>
      <c r="K17" s="25">
        <f t="shared" si="1"/>
        <v>0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ht="18.0" customHeight="1">
      <c r="A18" s="215"/>
      <c r="B18" s="227"/>
      <c r="C18" s="228"/>
      <c r="D18" s="228"/>
      <c r="E18" s="21"/>
      <c r="F18" s="21"/>
      <c r="G18" s="21"/>
      <c r="H18" s="22"/>
      <c r="I18" s="229"/>
      <c r="J18" s="230"/>
      <c r="K18" s="25">
        <f t="shared" si="1"/>
        <v>0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18.0" customHeight="1">
      <c r="A19" s="215"/>
      <c r="B19" s="217"/>
      <c r="C19" s="218"/>
      <c r="D19" s="30"/>
      <c r="E19" s="218"/>
      <c r="F19" s="218"/>
      <c r="G19" s="30"/>
      <c r="H19" s="31"/>
      <c r="I19" s="219"/>
      <c r="J19" s="220"/>
      <c r="K19" s="25">
        <f t="shared" si="1"/>
        <v>0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t="18.0" customHeight="1">
      <c r="A20" s="216"/>
      <c r="B20" s="227"/>
      <c r="C20" s="228"/>
      <c r="D20" s="228"/>
      <c r="E20" s="228"/>
      <c r="F20" s="228"/>
      <c r="G20" s="21"/>
      <c r="H20" s="22"/>
      <c r="I20" s="229"/>
      <c r="J20" s="230"/>
      <c r="K20" s="25">
        <f t="shared" si="1"/>
        <v>0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18.0" customHeight="1">
      <c r="A21" s="214"/>
      <c r="B21" s="217"/>
      <c r="C21" s="218"/>
      <c r="D21" s="218"/>
      <c r="E21" s="218"/>
      <c r="F21" s="218"/>
      <c r="G21" s="30"/>
      <c r="H21" s="31"/>
      <c r="I21" s="219"/>
      <c r="J21" s="220"/>
      <c r="K21" s="25">
        <f t="shared" si="1"/>
        <v>0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ht="18.0" customHeight="1">
      <c r="A22" s="215"/>
      <c r="B22" s="227"/>
      <c r="C22" s="228"/>
      <c r="D22" s="228"/>
      <c r="E22" s="228"/>
      <c r="F22" s="228"/>
      <c r="G22" s="21"/>
      <c r="H22" s="22"/>
      <c r="I22" s="229"/>
      <c r="J22" s="230"/>
      <c r="K22" s="25">
        <f t="shared" si="1"/>
        <v>0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ht="18.0" customHeight="1">
      <c r="A23" s="215"/>
      <c r="B23" s="217"/>
      <c r="C23" s="218"/>
      <c r="D23" s="30"/>
      <c r="E23" s="30"/>
      <c r="F23" s="30"/>
      <c r="G23" s="30"/>
      <c r="H23" s="219"/>
      <c r="I23" s="219"/>
      <c r="J23" s="220"/>
      <c r="K23" s="25">
        <f t="shared" si="1"/>
        <v>0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ht="18.0" customHeight="1">
      <c r="A24" s="216"/>
      <c r="B24" s="227"/>
      <c r="C24" s="228"/>
      <c r="D24" s="21"/>
      <c r="E24" s="228"/>
      <c r="F24" s="21"/>
      <c r="G24" s="21"/>
      <c r="H24" s="22"/>
      <c r="I24" s="229"/>
      <c r="J24" s="230"/>
      <c r="K24" s="25">
        <f t="shared" si="1"/>
        <v>0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ht="18.0" customHeight="1">
      <c r="A25" s="214"/>
      <c r="B25" s="217"/>
      <c r="C25" s="218"/>
      <c r="D25" s="30"/>
      <c r="E25" s="218"/>
      <c r="F25" s="30"/>
      <c r="G25" s="30"/>
      <c r="H25" s="31"/>
      <c r="I25" s="219"/>
      <c r="J25" s="220"/>
      <c r="K25" s="25">
        <f t="shared" si="1"/>
        <v>0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ht="18.0" customHeight="1">
      <c r="A26" s="215"/>
      <c r="B26" s="227"/>
      <c r="C26" s="228"/>
      <c r="D26" s="228"/>
      <c r="E26" s="228"/>
      <c r="F26" s="228"/>
      <c r="G26" s="228"/>
      <c r="H26" s="22"/>
      <c r="I26" s="229"/>
      <c r="J26" s="230"/>
      <c r="K26" s="25">
        <f t="shared" si="1"/>
        <v>0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ht="18.0" customHeight="1">
      <c r="A27" s="214"/>
      <c r="B27" s="217"/>
      <c r="C27" s="218"/>
      <c r="D27" s="218"/>
      <c r="E27" s="218"/>
      <c r="F27" s="218"/>
      <c r="G27" s="30"/>
      <c r="H27" s="31"/>
      <c r="I27" s="219"/>
      <c r="J27" s="220"/>
      <c r="K27" s="25">
        <f t="shared" si="1"/>
        <v>0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ht="18.0" customHeight="1">
      <c r="A28" s="215"/>
      <c r="B28" s="227"/>
      <c r="C28" s="228"/>
      <c r="D28" s="228"/>
      <c r="E28" s="21"/>
      <c r="F28" s="228"/>
      <c r="G28" s="21"/>
      <c r="H28" s="22"/>
      <c r="I28" s="229"/>
      <c r="J28" s="230"/>
      <c r="K28" s="25">
        <f t="shared" si="1"/>
        <v>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ht="18.0" customHeight="1">
      <c r="A29" s="215"/>
      <c r="B29" s="217"/>
      <c r="C29" s="218"/>
      <c r="D29" s="218"/>
      <c r="E29" s="218"/>
      <c r="F29" s="30"/>
      <c r="G29" s="30"/>
      <c r="H29" s="31"/>
      <c r="I29" s="219"/>
      <c r="J29" s="40"/>
      <c r="K29" s="25">
        <f t="shared" si="1"/>
        <v>0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ht="18.0" customHeight="1">
      <c r="A30" s="216"/>
      <c r="B30" s="50"/>
      <c r="C30" s="228"/>
      <c r="D30" s="21"/>
      <c r="E30" s="21"/>
      <c r="F30" s="228"/>
      <c r="G30" s="21"/>
      <c r="H30" s="22"/>
      <c r="I30" s="22"/>
      <c r="J30" s="24"/>
      <c r="K30" s="25">
        <f t="shared" si="1"/>
        <v>0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ht="18.0" customHeight="1">
      <c r="A31" s="231"/>
      <c r="B31" s="232"/>
      <c r="C31" s="233"/>
      <c r="D31" s="233"/>
      <c r="E31" s="233"/>
      <c r="F31" s="233"/>
      <c r="G31" s="233"/>
      <c r="H31" s="234"/>
      <c r="I31" s="234"/>
      <c r="J31" s="235"/>
      <c r="K31" s="25">
        <f t="shared" si="1"/>
        <v>0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t="18.0" customHeight="1">
      <c r="A32" s="54" t="s">
        <v>14</v>
      </c>
      <c r="B32" s="55">
        <f t="shared" ref="B32:K32" si="2">SUM(B5:B31)</f>
        <v>0</v>
      </c>
      <c r="C32" s="211">
        <f t="shared" si="2"/>
        <v>0</v>
      </c>
      <c r="D32" s="211">
        <f t="shared" si="2"/>
        <v>0</v>
      </c>
      <c r="E32" s="211">
        <f t="shared" si="2"/>
        <v>0</v>
      </c>
      <c r="F32" s="211">
        <f t="shared" si="2"/>
        <v>0</v>
      </c>
      <c r="G32" s="211">
        <f t="shared" si="2"/>
        <v>0</v>
      </c>
      <c r="H32" s="211">
        <f t="shared" si="2"/>
        <v>0</v>
      </c>
      <c r="I32" s="211">
        <f t="shared" si="2"/>
        <v>0</v>
      </c>
      <c r="J32" s="212">
        <f t="shared" si="2"/>
        <v>0</v>
      </c>
      <c r="K32" s="56">
        <f t="shared" si="2"/>
        <v>0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ht="14.2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ht="14.2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t="14.2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t="14.2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t="14.2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4.2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4.2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4.2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4.2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4.2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</sheetData>
  <mergeCells count="4">
    <mergeCell ref="A2:K2"/>
    <mergeCell ref="A3:A4"/>
    <mergeCell ref="B3:J3"/>
    <mergeCell ref="K3:K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2024-11-12T15:57:09Z</dcterms:created>
  <dc:creator>MEYER HBJO</dc:creator>
</cp:coreProperties>
</file>